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data analyst intern\JPMorgan Co\"/>
    </mc:Choice>
  </mc:AlternateContent>
  <xr:revisionPtr revIDLastSave="0" documentId="13_ncr:1_{DE4FD381-5161-45C4-A87D-DDDEE2715728}" xr6:coauthVersionLast="47" xr6:coauthVersionMax="47" xr10:uidLastSave="{00000000-0000-0000-0000-000000000000}"/>
  <bookViews>
    <workbookView xWindow="-132" yWindow="-132" windowWidth="23304" windowHeight="12624" xr2:uid="{88D75A90-26BD-438C-8A87-D80F31A6A432}"/>
  </bookViews>
  <sheets>
    <sheet name="Sheet1" sheetId="1" r:id="rId1"/>
    <sheet name="Sheet4" sheetId="12" r:id="rId2"/>
    <sheet name="Sheet2" sheetId="10" r:id="rId3"/>
    <sheet name="Sheet7" sheetId="9" r:id="rId4"/>
    <sheet name="Dashboad1" sheetId="3" r:id="rId5"/>
    <sheet name="Dashboard2" sheetId="11" r:id="rId6"/>
  </sheets>
  <definedNames>
    <definedName name="_xlnm._FilterDatabase" localSheetId="0" hidden="1">Sheet1!$A$4:$S$64</definedName>
    <definedName name="_xlnm._FilterDatabase" localSheetId="2" hidden="1">Sheet2!$A$1:$H$5</definedName>
    <definedName name="_xlnm._FilterDatabase" localSheetId="1" hidden="1">Sheet4!$A$1:$B$11</definedName>
    <definedName name="_xlnm._FilterDatabase" localSheetId="3" hidden="1">Sheet7!$A$1:$J$5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9" i="1" l="1"/>
  <c r="I69" i="1"/>
  <c r="J69" i="1"/>
  <c r="K69" i="1"/>
  <c r="L69" i="1"/>
  <c r="H68" i="1"/>
  <c r="I68" i="1"/>
  <c r="J68" i="1"/>
  <c r="K68" i="1"/>
  <c r="L68" i="1"/>
  <c r="H67" i="1"/>
  <c r="I67" i="1"/>
  <c r="J67" i="1"/>
  <c r="K67" i="1"/>
  <c r="L67" i="1"/>
  <c r="I66" i="1"/>
  <c r="J66" i="1"/>
  <c r="K66" i="1"/>
  <c r="L66" i="1"/>
  <c r="H66" i="1"/>
  <c r="G69" i="1"/>
  <c r="G68" i="1"/>
  <c r="G67" i="1"/>
  <c r="G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J2" i="9"/>
  <c r="J3" i="9"/>
  <c r="J4" i="9"/>
  <c r="J5" i="9"/>
  <c r="O65" i="1"/>
  <c r="P65" i="1"/>
  <c r="Q65" i="1"/>
  <c r="N65" i="1"/>
  <c r="M65" i="1"/>
  <c r="L65" i="1"/>
  <c r="K65" i="1"/>
  <c r="J65" i="1"/>
  <c r="I65" i="1"/>
  <c r="H65" i="1"/>
  <c r="G65" i="1"/>
  <c r="F65" i="1"/>
</calcChain>
</file>

<file path=xl/sharedStrings.xml><?xml version="1.0" encoding="utf-8"?>
<sst xmlns="http://schemas.openxmlformats.org/spreadsheetml/2006/main" count="800" uniqueCount="269">
  <si>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</si>
  <si>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</si>
  <si>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</si>
  <si>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</si>
  <si>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</si>
  <si>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</si>
  <si>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</si>
  <si>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</si>
  <si>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</si>
  <si>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</si>
  <si>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</si>
  <si>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</si>
  <si>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</si>
  <si>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</si>
  <si>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</si>
  <si>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</si>
  <si>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</si>
  <si>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</si>
  <si>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</si>
  <si>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</si>
  <si>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</si>
  <si>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</si>
  <si>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</si>
  <si>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</si>
  <si>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</si>
  <si>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</si>
  <si>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</si>
  <si>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</si>
  <si>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</si>
  <si>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</si>
  <si>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</si>
  <si>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</si>
  <si>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</si>
  <si>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</si>
  <si>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</si>
  <si>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</si>
  <si>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</si>
  <si>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</si>
  <si>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</si>
  <si>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</si>
  <si>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</si>
  <si>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</si>
  <si>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</si>
  <si>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</si>
  <si>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</si>
  <si>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</si>
  <si>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</si>
  <si>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</si>
  <si>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</si>
  <si>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</si>
  <si>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</si>
  <si>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</si>
  <si>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</si>
  <si>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</si>
  <si>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</si>
  <si>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</si>
  <si>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</si>
  <si>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</si>
  <si>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</si>
  <si>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</si>
  <si>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</si>
  <si>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</si>
  <si>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</si>
  <si>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</si>
  <si>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</si>
  <si>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</si>
  <si>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</si>
  <si>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</si>
  <si>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</si>
  <si>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</si>
  <si>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</si>
  <si>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</si>
  <si>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</si>
  <si>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</si>
  <si>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</si>
  <si>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</si>
  <si>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</si>
  <si>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</si>
  <si>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</si>
  <si>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</si>
  <si>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</si>
  <si>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</si>
  <si>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</si>
  <si>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</si>
  <si>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</si>
  <si>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</si>
  <si>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</si>
  <si>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</si>
  <si>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</si>
  <si>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</si>
  <si>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</si>
  <si>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</si>
  <si>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</si>
  <si>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</si>
  <si>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</si>
  <si>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</si>
  <si>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</si>
  <si>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</si>
  <si>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</si>
  <si>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</si>
  <si>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</si>
  <si>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</si>
  <si>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</si>
  <si>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</si>
  <si>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</si>
  <si>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</si>
  <si>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</si>
  <si>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</si>
  <si>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</si>
  <si>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</si>
  <si>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</si>
  <si>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</si>
  <si>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</si>
  <si>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</si>
  <si>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</si>
  <si>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</si>
  <si>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</si>
  <si>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</si>
  <si>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</si>
  <si>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</si>
  <si>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</si>
  <si>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</si>
  <si>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</si>
  <si>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</si>
  <si>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</si>
  <si>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</si>
  <si>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</si>
  <si>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</si>
  <si>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</si>
  <si>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</si>
  <si>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</si>
  <si>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</si>
  <si>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</si>
  <si>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</si>
  <si>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</si>
  <si>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</si>
  <si>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</si>
  <si>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</si>
  <si>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</si>
  <si>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</si>
  <si>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</si>
  <si>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</si>
  <si>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</si>
  <si>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</si>
  <si>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</si>
  <si>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</si>
  <si>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</si>
  <si>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</si>
  <si>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</si>
  <si>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</si>
  <si>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</si>
  <si>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</si>
  <si>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</si>
  <si>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</si>
  <si>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</si>
  <si>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</si>
  <si>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</si>
  <si>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</si>
  <si>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</si>
  <si>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</si>
  <si>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</si>
  <si>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</si>
  <si>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</si>
  <si>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</si>
  <si>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</si>
  <si>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</si>
  <si>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</si>
  <si>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</si>
  <si>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</si>
  <si>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</si>
  <si>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</si>
  <si>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</si>
  <si>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</si>
  <si>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</si>
  <si>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</si>
  <si>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</si>
  <si>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</si>
  <si>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</si>
  <si>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</si>
  <si>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</si>
  <si>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</si>
  <si>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</si>
  <si>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</si>
  <si>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</si>
  <si>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</si>
  <si>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</si>
  <si>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</si>
  <si>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</si>
  <si>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</si>
  <si>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</si>
  <si>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</si>
  <si>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</si>
  <si>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</si>
  <si>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</si>
  <si>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</si>
  <si>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</si>
  <si>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</si>
  <si>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</si>
  <si>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</si>
  <si>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</si>
  <si>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</si>
  <si>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</si>
  <si>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</si>
  <si>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</si>
  <si>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</si>
  <si>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</si>
  <si>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</si>
  <si>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</si>
  <si>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</si>
  <si>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</si>
  <si>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</si>
  <si>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</si>
  <si>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</si>
  <si>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</si>
  <si>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</si>
  <si>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</si>
  <si>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</si>
  <si>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</si>
  <si>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</si>
  <si>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</si>
  <si>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</si>
  <si>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</si>
  <si>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</si>
  <si>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</si>
  <si>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</si>
  <si>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</si>
  <si>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</si>
  <si>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</si>
  <si>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</si>
  <si>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</si>
  <si>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</si>
  <si>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</si>
  <si>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</si>
  <si>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</si>
  <si>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</si>
  <si>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</si>
  <si>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</si>
  <si>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</si>
  <si>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</si>
  <si>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</si>
  <si>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</si>
  <si>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</si>
  <si>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</si>
  <si>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</si>
  <si>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</si>
  <si>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</si>
  <si>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</si>
  <si>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</si>
  <si>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</si>
  <si>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</si>
  <si>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</si>
  <si>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</si>
  <si>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</si>
  <si>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</si>
  <si>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</si>
  <si>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</si>
  <si>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</si>
  <si>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</si>
  <si>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</si>
  <si>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</si>
  <si>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</si>
  <si>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</si>
  <si>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</si>
  <si>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Total</t>
  </si>
  <si>
    <t>overall sales</t>
  </si>
  <si>
    <t>yes in Small Bussiness</t>
  </si>
  <si>
    <t>yes in Medium Bussiness</t>
  </si>
  <si>
    <t>yes in Online Retailer</t>
  </si>
  <si>
    <t>yes in WholeSale Distri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</si>
</sst>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8"/>
      <color theme="1"/>
      <name val="Algerian"/>
      <family val="5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5 YR CAGR: Top 10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5 YR CAGR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Sheet4!$A$2:$A$11</c:f>
              <c:strCache>
                <c:ptCount val="10"/>
                <c:pt idx="0">
                  <c:v>SB 13</c:v>
                </c:pt>
                <c:pt idx="1">
                  <c:v>MB 5</c:v>
                </c:pt>
                <c:pt idx="2">
                  <c:v>OR 2</c:v>
                </c:pt>
                <c:pt idx="3">
                  <c:v>WD 11</c:v>
                </c:pt>
                <c:pt idx="4">
                  <c:v>MB 12</c:v>
                </c:pt>
                <c:pt idx="5">
                  <c:v>MB 6</c:v>
                </c:pt>
                <c:pt idx="6">
                  <c:v>WD 2</c:v>
                </c:pt>
                <c:pt idx="7">
                  <c:v>OR 10</c:v>
                </c:pt>
                <c:pt idx="8">
                  <c:v>OR 15</c:v>
                </c:pt>
                <c:pt idx="9">
                  <c:v>OR 9</c:v>
                </c:pt>
              </c:strCache>
            </c:strRef>
          </c:cat>
          <c:val>
            <c:numRef>
              <c:f>Sheet4!$B$2:$B$11</c:f>
              <c:numCache>
                <c:formatCode>0%</c:formatCode>
                <c:ptCount val="10"/>
                <c:pt idx="0">
                  <c:v>3.3498147004699526</c:v>
                </c:pt>
                <c:pt idx="1">
                  <c:v>2.2455667067018901</c:v>
                </c:pt>
                <c:pt idx="2">
                  <c:v>1.8142296888697582</c:v>
                </c:pt>
                <c:pt idx="3">
                  <c:v>1.6546701130112136</c:v>
                </c:pt>
                <c:pt idx="4">
                  <c:v>1.5203389637502625</c:v>
                </c:pt>
                <c:pt idx="5">
                  <c:v>1.4232703532020747</c:v>
                </c:pt>
                <c:pt idx="6">
                  <c:v>1.3475541667800686</c:v>
                </c:pt>
                <c:pt idx="7">
                  <c:v>1.1188084145320056</c:v>
                </c:pt>
                <c:pt idx="8">
                  <c:v>1.0930046233022455</c:v>
                </c:pt>
                <c:pt idx="9">
                  <c:v>1.084072328017021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F-4716-B823-2654C70722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49677440"/>
        <c:axId val="249677920"/>
      </c:barChart>
      <c:catAx>
        <c:axId val="24967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77920"/>
        <c:crosses val="autoZero"/>
        <c:auto val="1"/>
        <c:lblAlgn val="ctr"/>
        <c:lblOffset val="100"/>
        <c:noMultiLvlLbl val="0"/>
      </c:catAx>
      <c:valAx>
        <c:axId val="249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7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Number</a:t>
            </a:r>
            <a:r>
              <a:rPr lang="en-IN" baseline="0"/>
              <a:t> of Products in each Business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Product 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Sheet2!$E$2:$E$5</c:f>
              <c:numCache>
                <c:formatCode>General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B7-4BCA-9780-E26651C874A7}"/>
            </c:ext>
          </c:extLst>
        </c:ser>
        <c:ser>
          <c:idx val="1"/>
          <c:order val="1"/>
          <c:tx>
            <c:strRef>
              <c:f>Sheet2!$F$1</c:f>
              <c:strCache>
                <c:ptCount val="1"/>
                <c:pt idx="0">
                  <c:v>Product 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Sheet2!$F$2:$F$5</c:f>
              <c:numCache>
                <c:formatCode>General</c:formatCode>
                <c:ptCount val="4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B7-4BCA-9780-E26651C874A7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Product 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Sheet2!$G$2:$G$5</c:f>
              <c:numCache>
                <c:formatCode>General</c:formatCode>
                <c:ptCount val="4"/>
                <c:pt idx="0">
                  <c:v>8</c:v>
                </c:pt>
                <c:pt idx="1">
                  <c:v>0</c:v>
                </c:pt>
                <c:pt idx="2">
                  <c:v>12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B7-4BCA-9780-E26651C87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0424544"/>
        <c:axId val="380425504"/>
      </c:barChart>
      <c:catAx>
        <c:axId val="38042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5504"/>
        <c:crosses val="autoZero"/>
        <c:auto val="1"/>
        <c:lblAlgn val="ctr"/>
        <c:lblOffset val="100"/>
        <c:noMultiLvlLbl val="0"/>
      </c:catAx>
      <c:valAx>
        <c:axId val="38042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Sheet7!$D$2</c:f>
              <c:strCache>
                <c:ptCount val="1"/>
                <c:pt idx="0">
                  <c:v>Medium Business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Sheet7!$E$2:$I$2</c:f>
              <c:numCache>
                <c:formatCode>General</c:formatCode>
                <c:ptCount val="5"/>
                <c:pt idx="0">
                  <c:v>9773</c:v>
                </c:pt>
                <c:pt idx="1">
                  <c:v>9179</c:v>
                </c:pt>
                <c:pt idx="2">
                  <c:v>8390</c:v>
                </c:pt>
                <c:pt idx="3">
                  <c:v>8256</c:v>
                </c:pt>
                <c:pt idx="4">
                  <c:v>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6-4D00-8792-147446C05197}"/>
            </c:ext>
          </c:extLst>
        </c:ser>
        <c:ser>
          <c:idx val="1"/>
          <c:order val="1"/>
          <c:tx>
            <c:strRef>
              <c:f>Sheet7!$D$3</c:f>
              <c:strCache>
                <c:ptCount val="1"/>
                <c:pt idx="0">
                  <c:v>Online Retailer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Sheet7!$E$3:$I$3</c:f>
              <c:numCache>
                <c:formatCode>General</c:formatCode>
                <c:ptCount val="5"/>
                <c:pt idx="0">
                  <c:v>2519</c:v>
                </c:pt>
                <c:pt idx="1">
                  <c:v>3938</c:v>
                </c:pt>
                <c:pt idx="2">
                  <c:v>5190</c:v>
                </c:pt>
                <c:pt idx="3">
                  <c:v>8203</c:v>
                </c:pt>
                <c:pt idx="4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6-4D00-8792-147446C05197}"/>
            </c:ext>
          </c:extLst>
        </c:ser>
        <c:ser>
          <c:idx val="2"/>
          <c:order val="2"/>
          <c:tx>
            <c:strRef>
              <c:f>Sheet7!$D$4</c:f>
              <c:strCache>
                <c:ptCount val="1"/>
                <c:pt idx="0">
                  <c:v>Small Business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Sheet7!$E$4:$I$4</c:f>
              <c:numCache>
                <c:formatCode>General</c:formatCode>
                <c:ptCount val="5"/>
                <c:pt idx="0">
                  <c:v>1982</c:v>
                </c:pt>
                <c:pt idx="1">
                  <c:v>5388</c:v>
                </c:pt>
                <c:pt idx="2">
                  <c:v>7063</c:v>
                </c:pt>
                <c:pt idx="3">
                  <c:v>7208</c:v>
                </c:pt>
                <c:pt idx="4">
                  <c:v>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66-4D00-8792-147446C05197}"/>
            </c:ext>
          </c:extLst>
        </c:ser>
        <c:ser>
          <c:idx val="3"/>
          <c:order val="3"/>
          <c:tx>
            <c:strRef>
              <c:f>Sheet7!$D$5</c:f>
              <c:strCache>
                <c:ptCount val="1"/>
                <c:pt idx="0">
                  <c:v>Wholesale Distributor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Sheet7!$E$5:$I$5</c:f>
              <c:numCache>
                <c:formatCode>General</c:formatCode>
                <c:ptCount val="5"/>
                <c:pt idx="0">
                  <c:v>8156</c:v>
                </c:pt>
                <c:pt idx="1">
                  <c:v>1245</c:v>
                </c:pt>
                <c:pt idx="2">
                  <c:v>791</c:v>
                </c:pt>
                <c:pt idx="3">
                  <c:v>338</c:v>
                </c:pt>
                <c:pt idx="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66-4D00-8792-147446C05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70057984"/>
        <c:axId val="370052704"/>
      </c:barChart>
      <c:catAx>
        <c:axId val="3700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52704"/>
        <c:crosses val="autoZero"/>
        <c:auto val="1"/>
        <c:lblAlgn val="ctr"/>
        <c:lblOffset val="100"/>
        <c:noMultiLvlLbl val="0"/>
      </c:catAx>
      <c:valAx>
        <c:axId val="37005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 of Coupons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Yes</c:v>
              </c:pt>
            </c:strLit>
          </c:cat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0266-4EB9-96D4-E2CC244B9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51369295"/>
        <c:axId val="1151381295"/>
      </c:barChart>
      <c:catAx>
        <c:axId val="11513692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51381295"/>
        <c:crosses val="autoZero"/>
        <c:auto val="1"/>
        <c:lblAlgn val="ctr"/>
        <c:lblOffset val="100"/>
        <c:noMultiLvlLbl val="0"/>
      </c:catAx>
      <c:valAx>
        <c:axId val="115138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36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 of Social Media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60</c:v>
              </c:pt>
            </c:numLit>
          </c:val>
          <c:extLst>
            <c:ext xmlns:c16="http://schemas.microsoft.com/office/drawing/2014/chart" uri="{C3380CC4-5D6E-409C-BE32-E72D297353CC}">
              <c16:uniqueId val="{00000000-0F41-41F5-BB80-A08531CA5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51388495"/>
        <c:axId val="1151376015"/>
      </c:barChart>
      <c:catAx>
        <c:axId val="11513884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51376015"/>
        <c:crosses val="autoZero"/>
        <c:auto val="0"/>
        <c:lblAlgn val="ctr"/>
        <c:lblOffset val="100"/>
        <c:noMultiLvlLbl val="0"/>
      </c:catAx>
      <c:valAx>
        <c:axId val="115137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388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Number</a:t>
            </a:r>
            <a:r>
              <a:rPr lang="en-IN" baseline="0"/>
              <a:t> of Products in each Business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Product 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Sheet2!$E$2:$E$5</c:f>
              <c:numCache>
                <c:formatCode>General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C-42F1-B1C2-441228BCE241}"/>
            </c:ext>
          </c:extLst>
        </c:ser>
        <c:ser>
          <c:idx val="1"/>
          <c:order val="1"/>
          <c:tx>
            <c:strRef>
              <c:f>Sheet2!$F$1</c:f>
              <c:strCache>
                <c:ptCount val="1"/>
                <c:pt idx="0">
                  <c:v>Product 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Sheet2!$F$2:$F$5</c:f>
              <c:numCache>
                <c:formatCode>General</c:formatCode>
                <c:ptCount val="4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AC-42F1-B1C2-441228BCE241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Product 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Sheet2!$G$2:$G$5</c:f>
              <c:numCache>
                <c:formatCode>General</c:formatCode>
                <c:ptCount val="4"/>
                <c:pt idx="0">
                  <c:v>8</c:v>
                </c:pt>
                <c:pt idx="1">
                  <c:v>0</c:v>
                </c:pt>
                <c:pt idx="2">
                  <c:v>12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AC-42F1-B1C2-441228BCE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0424544"/>
        <c:axId val="380425504"/>
      </c:barChart>
      <c:catAx>
        <c:axId val="38042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5504"/>
        <c:crosses val="autoZero"/>
        <c:auto val="1"/>
        <c:lblAlgn val="ctr"/>
        <c:lblOffset val="100"/>
        <c:noMultiLvlLbl val="0"/>
      </c:catAx>
      <c:valAx>
        <c:axId val="38042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 of Posters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60</c:v>
              </c:pt>
            </c:numLit>
          </c:val>
          <c:extLst>
            <c:ext xmlns:c16="http://schemas.microsoft.com/office/drawing/2014/chart" uri="{C3380CC4-5D6E-409C-BE32-E72D297353CC}">
              <c16:uniqueId val="{00000000-4C11-476C-A2CC-3182FAD62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51380815"/>
        <c:axId val="1151379375"/>
      </c:barChart>
      <c:catAx>
        <c:axId val="1151380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51379375"/>
        <c:crosses val="autoZero"/>
        <c:auto val="1"/>
        <c:lblAlgn val="ctr"/>
        <c:lblOffset val="100"/>
        <c:tickLblSkip val="1"/>
        <c:noMultiLvlLbl val="0"/>
      </c:catAx>
      <c:valAx>
        <c:axId val="1151379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38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 of Catalog Inclusion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Yes</c:v>
              </c:pt>
            </c:strLit>
          </c:cat>
          <c:val>
            <c:numLit>
              <c:formatCode>General</c:formatCode>
              <c:ptCount val="1"/>
              <c:pt idx="0">
                <c:v>43</c:v>
              </c:pt>
            </c:numLit>
          </c:val>
          <c:extLst>
            <c:ext xmlns:c16="http://schemas.microsoft.com/office/drawing/2014/chart" uri="{C3380CC4-5D6E-409C-BE32-E72D297353CC}">
              <c16:uniqueId val="{00000000-3C01-4113-B1C8-C2496D5BF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51364495"/>
        <c:axId val="1151384175"/>
      </c:barChart>
      <c:catAx>
        <c:axId val="115136449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51384175"/>
        <c:crosses val="autoZero"/>
        <c:auto val="1"/>
        <c:lblAlgn val="ctr"/>
        <c:lblOffset val="100"/>
        <c:noMultiLvlLbl val="0"/>
      </c:catAx>
      <c:valAx>
        <c:axId val="1151384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36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Number</a:t>
            </a:r>
            <a:r>
              <a:rPr lang="en-IN" baseline="0"/>
              <a:t> of Products in each Business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Product 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Sheet2!$E$2:$E$5</c:f>
              <c:numCache>
                <c:formatCode>General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C-42F1-B1C2-441228BCE241}"/>
            </c:ext>
          </c:extLst>
        </c:ser>
        <c:ser>
          <c:idx val="1"/>
          <c:order val="1"/>
          <c:tx>
            <c:strRef>
              <c:f>Sheet2!$F$1</c:f>
              <c:strCache>
                <c:ptCount val="1"/>
                <c:pt idx="0">
                  <c:v>Product 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Sheet2!$F$2:$F$5</c:f>
              <c:numCache>
                <c:formatCode>General</c:formatCode>
                <c:ptCount val="4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AC-42F1-B1C2-441228BCE241}"/>
            </c:ext>
          </c:extLst>
        </c:ser>
        <c:ser>
          <c:idx val="2"/>
          <c:order val="2"/>
          <c:tx>
            <c:strRef>
              <c:f>Sheet2!$G$1</c:f>
              <c:strCache>
                <c:ptCount val="1"/>
                <c:pt idx="0">
                  <c:v>Product 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Sheet2!$D$2:$D$5</c:f>
              <c:strCache>
                <c:ptCount val="4"/>
                <c:pt idx="0">
                  <c:v>Medium Business</c:v>
                </c:pt>
                <c:pt idx="1">
                  <c:v>Small Business</c:v>
                </c:pt>
                <c:pt idx="2">
                  <c:v>Online Retailer</c:v>
                </c:pt>
                <c:pt idx="3">
                  <c:v>Wholesale Distributor</c:v>
                </c:pt>
              </c:strCache>
            </c:strRef>
          </c:cat>
          <c:val>
            <c:numRef>
              <c:f>Sheet2!$G$2:$G$5</c:f>
              <c:numCache>
                <c:formatCode>General</c:formatCode>
                <c:ptCount val="4"/>
                <c:pt idx="0">
                  <c:v>8</c:v>
                </c:pt>
                <c:pt idx="1">
                  <c:v>0</c:v>
                </c:pt>
                <c:pt idx="2">
                  <c:v>12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AC-42F1-B1C2-441228BCE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0424544"/>
        <c:axId val="380425504"/>
      </c:barChart>
      <c:catAx>
        <c:axId val="38042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5504"/>
        <c:crosses val="autoZero"/>
        <c:auto val="1"/>
        <c:lblAlgn val="ctr"/>
        <c:lblOffset val="100"/>
        <c:noMultiLvlLbl val="0"/>
      </c:catAx>
      <c:valAx>
        <c:axId val="38042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Sheet7!$D$2</c:f>
              <c:strCache>
                <c:ptCount val="1"/>
                <c:pt idx="0">
                  <c:v>Medium Business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Sheet7!$E$2:$I$2</c:f>
              <c:numCache>
                <c:formatCode>General</c:formatCode>
                <c:ptCount val="5"/>
                <c:pt idx="0">
                  <c:v>9773</c:v>
                </c:pt>
                <c:pt idx="1">
                  <c:v>9179</c:v>
                </c:pt>
                <c:pt idx="2">
                  <c:v>8390</c:v>
                </c:pt>
                <c:pt idx="3">
                  <c:v>8256</c:v>
                </c:pt>
                <c:pt idx="4">
                  <c:v>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7E-4E33-9879-7F2A374B8F5F}"/>
            </c:ext>
          </c:extLst>
        </c:ser>
        <c:ser>
          <c:idx val="1"/>
          <c:order val="1"/>
          <c:tx>
            <c:strRef>
              <c:f>Sheet7!$D$3</c:f>
              <c:strCache>
                <c:ptCount val="1"/>
                <c:pt idx="0">
                  <c:v>Online Retailer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Sheet7!$E$3:$I$3</c:f>
              <c:numCache>
                <c:formatCode>General</c:formatCode>
                <c:ptCount val="5"/>
                <c:pt idx="0">
                  <c:v>2519</c:v>
                </c:pt>
                <c:pt idx="1">
                  <c:v>3938</c:v>
                </c:pt>
                <c:pt idx="2">
                  <c:v>5190</c:v>
                </c:pt>
                <c:pt idx="3">
                  <c:v>8203</c:v>
                </c:pt>
                <c:pt idx="4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7E-4E33-9879-7F2A374B8F5F}"/>
            </c:ext>
          </c:extLst>
        </c:ser>
        <c:ser>
          <c:idx val="2"/>
          <c:order val="2"/>
          <c:tx>
            <c:strRef>
              <c:f>Sheet7!$D$4</c:f>
              <c:strCache>
                <c:ptCount val="1"/>
                <c:pt idx="0">
                  <c:v>Small Business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Sheet7!$E$4:$I$4</c:f>
              <c:numCache>
                <c:formatCode>General</c:formatCode>
                <c:ptCount val="5"/>
                <c:pt idx="0">
                  <c:v>1982</c:v>
                </c:pt>
                <c:pt idx="1">
                  <c:v>5388</c:v>
                </c:pt>
                <c:pt idx="2">
                  <c:v>7063</c:v>
                </c:pt>
                <c:pt idx="3">
                  <c:v>7208</c:v>
                </c:pt>
                <c:pt idx="4">
                  <c:v>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7E-4E33-9879-7F2A374B8F5F}"/>
            </c:ext>
          </c:extLst>
        </c:ser>
        <c:ser>
          <c:idx val="3"/>
          <c:order val="3"/>
          <c:tx>
            <c:strRef>
              <c:f>Sheet7!$D$5</c:f>
              <c:strCache>
                <c:ptCount val="1"/>
                <c:pt idx="0">
                  <c:v>Wholesale Distributor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Sheet7!$E$1:$I$1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Sheet7!$E$5:$I$5</c:f>
              <c:numCache>
                <c:formatCode>General</c:formatCode>
                <c:ptCount val="5"/>
                <c:pt idx="0">
                  <c:v>8156</c:v>
                </c:pt>
                <c:pt idx="1">
                  <c:v>1245</c:v>
                </c:pt>
                <c:pt idx="2">
                  <c:v>791</c:v>
                </c:pt>
                <c:pt idx="3">
                  <c:v>338</c:v>
                </c:pt>
                <c:pt idx="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7E-4E33-9879-7F2A374B8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70057984"/>
        <c:axId val="370052704"/>
      </c:barChart>
      <c:catAx>
        <c:axId val="3700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52704"/>
        <c:crosses val="autoZero"/>
        <c:auto val="1"/>
        <c:lblAlgn val="ctr"/>
        <c:lblOffset val="100"/>
        <c:noMultiLvlLbl val="0"/>
      </c:catAx>
      <c:valAx>
        <c:axId val="37005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5 YR CAGR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Sheet4!$A$2:$A$11</c:f>
              <c:strCache>
                <c:ptCount val="10"/>
                <c:pt idx="0">
                  <c:v>SB 13</c:v>
                </c:pt>
                <c:pt idx="1">
                  <c:v>MB 5</c:v>
                </c:pt>
                <c:pt idx="2">
                  <c:v>OR 2</c:v>
                </c:pt>
                <c:pt idx="3">
                  <c:v>WD 11</c:v>
                </c:pt>
                <c:pt idx="4">
                  <c:v>MB 12</c:v>
                </c:pt>
                <c:pt idx="5">
                  <c:v>MB 6</c:v>
                </c:pt>
                <c:pt idx="6">
                  <c:v>WD 2</c:v>
                </c:pt>
                <c:pt idx="7">
                  <c:v>OR 10</c:v>
                </c:pt>
                <c:pt idx="8">
                  <c:v>OR 15</c:v>
                </c:pt>
                <c:pt idx="9">
                  <c:v>OR 9</c:v>
                </c:pt>
              </c:strCache>
            </c:strRef>
          </c:cat>
          <c:val>
            <c:numRef>
              <c:f>Sheet4!$B$2:$B$11</c:f>
              <c:numCache>
                <c:formatCode>0%</c:formatCode>
                <c:ptCount val="10"/>
                <c:pt idx="0">
                  <c:v>3.3498147004699526</c:v>
                </c:pt>
                <c:pt idx="1">
                  <c:v>2.2455667067018901</c:v>
                </c:pt>
                <c:pt idx="2">
                  <c:v>1.8142296888697582</c:v>
                </c:pt>
                <c:pt idx="3">
                  <c:v>1.6546701130112136</c:v>
                </c:pt>
                <c:pt idx="4">
                  <c:v>1.5203389637502625</c:v>
                </c:pt>
                <c:pt idx="5">
                  <c:v>1.4232703532020747</c:v>
                </c:pt>
                <c:pt idx="6">
                  <c:v>1.3475541667800686</c:v>
                </c:pt>
                <c:pt idx="7">
                  <c:v>1.1188084145320056</c:v>
                </c:pt>
                <c:pt idx="8">
                  <c:v>1.0930046233022455</c:v>
                </c:pt>
                <c:pt idx="9">
                  <c:v>1.084072328017021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6-49D6-8D33-CEC6AB21BD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49677440"/>
        <c:axId val="249677920"/>
      </c:barChart>
      <c:catAx>
        <c:axId val="24967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77920"/>
        <c:crosses val="autoZero"/>
        <c:auto val="1"/>
        <c:lblAlgn val="ctr"/>
        <c:lblOffset val="100"/>
        <c:noMultiLvlLbl val="0"/>
      </c:catAx>
      <c:valAx>
        <c:axId val="249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67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22860</xdr:rowOff>
    </xdr:from>
    <xdr:to>
      <xdr:col>11</xdr:col>
      <xdr:colOff>312420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0B8683-541D-0E11-EF0B-79545E5B1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1059180</xdr:colOff>
      <xdr:row>5</xdr:row>
      <xdr:rowOff>152400</xdr:rowOff>
    </xdr:from>
    <xdr:to>
      <xdr:col>4</xdr:col>
      <xdr:colOff>952500</xdr:colOff>
      <xdr:row>20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53238B-A2C1-3614-91BE-48474F1F26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149860</xdr:colOff>
      <xdr:row>1</xdr:row>
      <xdr:rowOff>82973</xdr:rowOff>
    </xdr:from>
    <xdr:to>
      <xdr:col>15</xdr:col>
      <xdr:colOff>607060</xdr:colOff>
      <xdr:row>16</xdr:row>
      <xdr:rowOff>32173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2C1D10-87BE-CDE1-3F48-0100063D66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601134</xdr:colOff>
      <xdr:row>0</xdr:row>
      <xdr:rowOff>156636</xdr:rowOff>
    </xdr:from>
    <xdr:to>
      <xdr:col>22</xdr:col>
      <xdr:colOff>67734</xdr:colOff>
      <xdr:row>26</xdr:row>
      <xdr:rowOff>59268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7B97ED8-3456-2F9F-A714-AE9CF2A7FDE3}"/>
            </a:ext>
          </a:extLst>
        </xdr:cNvPr>
        <xdr:cNvSpPr/>
      </xdr:nvSpPr>
      <xdr:spPr>
        <a:xfrm>
          <a:off x="601134" y="156636"/>
          <a:ext cx="12877800" cy="4754032"/>
        </a:xfrm>
        <a:prstGeom prst="rect">
          <a:avLst/>
        </a:prstGeom>
        <a:ln>
          <a:solidFill>
            <a:schemeClr val="tx1"/>
          </a:solidFill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437408</xdr:colOff>
      <xdr:row>17</xdr:row>
      <xdr:rowOff>135468</xdr:rowOff>
    </xdr:from>
    <xdr:to>
      <xdr:col>16</xdr:col>
      <xdr:colOff>448731</xdr:colOff>
      <xdr:row>25</xdr:row>
      <xdr:rowOff>127001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C9F9781-12D5-4DD7-843D-898C460C8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203195</xdr:colOff>
      <xdr:row>17</xdr:row>
      <xdr:rowOff>152400</xdr:rowOff>
    </xdr:from>
    <xdr:to>
      <xdr:col>21</xdr:col>
      <xdr:colOff>474127</xdr:colOff>
      <xdr:row>25</xdr:row>
      <xdr:rowOff>135466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77A4DB0-8BA1-4A87-8BF0-E6967AEA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575733</xdr:colOff>
      <xdr:row>10</xdr:row>
      <xdr:rowOff>11864</xdr:rowOff>
    </xdr:from>
    <xdr:to>
      <xdr:col>10</xdr:col>
      <xdr:colOff>412519</xdr:colOff>
      <xdr:row>25</xdr:row>
      <xdr:rowOff>99526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B7DE2D-DCE5-49DE-A532-86978F78C8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186267</xdr:colOff>
      <xdr:row>6</xdr:row>
      <xdr:rowOff>8419</xdr:rowOff>
    </xdr:from>
    <xdr:to>
      <xdr:col>11</xdr:col>
      <xdr:colOff>203200</xdr:colOff>
      <xdr:row>8</xdr:row>
      <xdr:rowOff>127507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FB5F9D6-1F79-0963-599B-AE9F4B5227FB}"/>
            </a:ext>
          </a:extLst>
        </xdr:cNvPr>
        <xdr:cNvSpPr txBox="1"/>
      </xdr:nvSpPr>
      <xdr:spPr>
        <a:xfrm>
          <a:off x="795867" y="1134486"/>
          <a:ext cx="6112933" cy="491621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>
              <a:solidFill>
                <a:schemeClr val="tx1"/>
              </a:solidFill>
            </a:rPr>
            <a:t>Distribution of accounts and different</a:t>
          </a:r>
          <a:r>
            <a:rPr lang="en-IN" sz="1600" baseline="0">
              <a:solidFill>
                <a:schemeClr val="tx1"/>
              </a:solidFill>
            </a:rPr>
            <a:t> products purchased by them</a:t>
          </a:r>
          <a:endParaRPr lang="en-IN" sz="16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431564</xdr:colOff>
      <xdr:row>9</xdr:row>
      <xdr:rowOff>59266</xdr:rowOff>
    </xdr:from>
    <xdr:to>
      <xdr:col>16</xdr:col>
      <xdr:colOff>440263</xdr:colOff>
      <xdr:row>16</xdr:row>
      <xdr:rowOff>169334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98005A7-BD22-A9F2-F9AE-97D7FA9D6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186264</xdr:colOff>
      <xdr:row>9</xdr:row>
      <xdr:rowOff>59266</xdr:rowOff>
    </xdr:from>
    <xdr:to>
      <xdr:col>21</xdr:col>
      <xdr:colOff>461987</xdr:colOff>
      <xdr:row>16</xdr:row>
      <xdr:rowOff>165734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C8B3B8C-A35D-7640-6F8B-B1AA6A5D9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423333</xdr:colOff>
      <xdr:row>6</xdr:row>
      <xdr:rowOff>24448</xdr:rowOff>
    </xdr:from>
    <xdr:to>
      <xdr:col>21</xdr:col>
      <xdr:colOff>448733</xdr:colOff>
      <xdr:row>8</xdr:row>
      <xdr:rowOff>143536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98B1D16-FADE-1110-46DB-D7ED813DE026}"/>
            </a:ext>
          </a:extLst>
        </xdr:cNvPr>
        <xdr:cNvSpPr txBox="1"/>
      </xdr:nvSpPr>
      <xdr:spPr>
        <a:xfrm>
          <a:off x="7128933" y="1150515"/>
          <a:ext cx="6121400" cy="491621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>
              <a:solidFill>
                <a:schemeClr val="tx1"/>
              </a:solidFill>
            </a:rPr>
            <a:t>Distribution of accounts and different</a:t>
          </a:r>
          <a:r>
            <a:rPr lang="en-IN" sz="1600" baseline="0">
              <a:solidFill>
                <a:schemeClr val="tx1"/>
              </a:solidFill>
            </a:rPr>
            <a:t> products purchased by them</a:t>
          </a:r>
          <a:endParaRPr lang="en-IN" sz="16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203200</xdr:colOff>
      <xdr:row>9</xdr:row>
      <xdr:rowOff>16933</xdr:rowOff>
    </xdr:from>
    <xdr:to>
      <xdr:col>11</xdr:col>
      <xdr:colOff>177800</xdr:colOff>
      <xdr:row>25</xdr:row>
      <xdr:rowOff>99526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F8437A3-964D-F9C0-6450-6FF6F60477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154397</xdr:colOff>
      <xdr:row>1</xdr:row>
      <xdr:rowOff>89314</xdr:rowOff>
    </xdr:from>
    <xdr:to>
      <xdr:col>15</xdr:col>
      <xdr:colOff>35400</xdr:colOff>
      <xdr:row>5</xdr:row>
      <xdr:rowOff>90607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B6644C8-C19B-8FCB-3A1A-E08DD3160688}"/>
            </a:ext>
          </a:extLst>
        </xdr:cNvPr>
        <xdr:cNvSpPr/>
      </xdr:nvSpPr>
      <xdr:spPr>
        <a:xfrm>
          <a:off x="5031197" y="292514"/>
          <a:ext cx="4148203" cy="737893"/>
        </a:xfrm>
        <a:prstGeom prst="round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4000">
              <a:solidFill>
                <a:schemeClr val="accent2"/>
              </a:solidFill>
            </a:rPr>
            <a:t>Account Analysis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21</xdr:row>
          <xdr:rowOff>0</xdr:rowOff>
        </xdr:from>
        <xdr:to>
          <xdr:col>25</xdr:col>
          <xdr:colOff>304800</xdr:colOff>
          <xdr:row>25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IN" sz="2800" b="0" i="0" u="none" strike="noStrike" baseline="0">
                  <a:solidFill>
                    <a:srgbClr val="000000"/>
                  </a:solidFill>
                  <a:latin typeface="Algerian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423330</xdr:colOff>
      <xdr:row>0</xdr:row>
      <xdr:rowOff>160021</xdr:rowOff>
    </xdr:from>
    <xdr:to>
      <xdr:col>24</xdr:col>
      <xdr:colOff>338667</xdr:colOff>
      <xdr:row>26</xdr:row>
      <xdr:rowOff>59267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03AF7E0-8CFC-4ED8-9EDD-1861DA202E0B}"/>
            </a:ext>
          </a:extLst>
        </xdr:cNvPr>
        <xdr:cNvSpPr/>
      </xdr:nvSpPr>
      <xdr:spPr>
        <a:xfrm>
          <a:off x="1032930" y="160021"/>
          <a:ext cx="13936137" cy="4742179"/>
        </a:xfrm>
        <a:prstGeom prst="rect">
          <a:avLst/>
        </a:prstGeom>
        <a:ln>
          <a:solidFill>
            <a:schemeClr val="tx1"/>
          </a:solidFill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135467</xdr:colOff>
      <xdr:row>1</xdr:row>
      <xdr:rowOff>100754</xdr:rowOff>
    </xdr:from>
    <xdr:to>
      <xdr:col>24</xdr:col>
      <xdr:colOff>93133</xdr:colOff>
      <xdr:row>5</xdr:row>
      <xdr:rowOff>116793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DF24130-CDA1-4E9F-A387-4B81A4171D27}"/>
            </a:ext>
          </a:extLst>
        </xdr:cNvPr>
        <xdr:cNvSpPr/>
      </xdr:nvSpPr>
      <xdr:spPr>
        <a:xfrm>
          <a:off x="8060267" y="287021"/>
          <a:ext cx="6663266" cy="761105"/>
        </a:xfrm>
        <a:prstGeom prst="round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4000">
              <a:solidFill>
                <a:schemeClr val="accent2"/>
              </a:solidFill>
            </a:rPr>
            <a:t>Product</a:t>
          </a:r>
          <a:r>
            <a:rPr lang="en-IN" sz="4000" baseline="0">
              <a:solidFill>
                <a:schemeClr val="accent2"/>
              </a:solidFill>
            </a:rPr>
            <a:t> 1 sales Analysis</a:t>
          </a:r>
          <a:endParaRPr lang="en-IN" sz="4000">
            <a:solidFill>
              <a:schemeClr val="accent2"/>
            </a:solidFill>
          </a:endParaRPr>
        </a:p>
      </xdr:txBody>
    </xdr:sp>
    <xdr:clientData/>
  </xdr:twoCellAnchor>
  <xdr:twoCellAnchor>
    <xdr:from>
      <xdr:col>13</xdr:col>
      <xdr:colOff>101600</xdr:colOff>
      <xdr:row>6</xdr:row>
      <xdr:rowOff>118532</xdr:rowOff>
    </xdr:from>
    <xdr:to>
      <xdr:col>24</xdr:col>
      <xdr:colOff>101600</xdr:colOff>
      <xdr:row>24</xdr:row>
      <xdr:rowOff>112963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097796-585E-01AE-BB41-DE09C72D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67729</xdr:colOff>
      <xdr:row>6</xdr:row>
      <xdr:rowOff>110067</xdr:rowOff>
    </xdr:from>
    <xdr:to>
      <xdr:col>12</xdr:col>
      <xdr:colOff>414867</xdr:colOff>
      <xdr:row>24</xdr:row>
      <xdr:rowOff>110066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6E18269-8C0D-4A50-9059-642D6BD6B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59266</xdr:colOff>
      <xdr:row>1</xdr:row>
      <xdr:rowOff>83818</xdr:rowOff>
    </xdr:from>
    <xdr:to>
      <xdr:col>12</xdr:col>
      <xdr:colOff>406399</xdr:colOff>
      <xdr:row>5</xdr:row>
      <xdr:rowOff>99857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189F0F5-6B89-498E-9194-04AA34F47DDF}"/>
            </a:ext>
          </a:extLst>
        </xdr:cNvPr>
        <xdr:cNvSpPr/>
      </xdr:nvSpPr>
      <xdr:spPr>
        <a:xfrm>
          <a:off x="1278466" y="270085"/>
          <a:ext cx="6443133" cy="761105"/>
        </a:xfrm>
        <a:prstGeom prst="round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3600" b="0">
              <a:solidFill>
                <a:schemeClr val="accent2"/>
              </a:solidFill>
              <a:effectLst/>
              <a:latin typeface="+mn-lt"/>
            </a:rPr>
            <a:t>5</a:t>
          </a:r>
          <a:r>
            <a:rPr lang="en-IN" sz="3600" b="0" baseline="0">
              <a:solidFill>
                <a:schemeClr val="accent2"/>
              </a:solidFill>
              <a:effectLst/>
              <a:latin typeface="+mn-lt"/>
            </a:rPr>
            <a:t> YR CAGR: Top 10 Accounts</a:t>
          </a:r>
          <a:endParaRPr lang="en-IN" sz="3600" b="0">
            <a:solidFill>
              <a:schemeClr val="accent2"/>
            </a:solidFill>
            <a:effectLst/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23</xdr:row>
          <xdr:rowOff>22860</xdr:rowOff>
        </xdr:from>
        <xdr:to>
          <xdr:col>1</xdr:col>
          <xdr:colOff>327660</xdr:colOff>
          <xdr:row>25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D3C9D7-9380-4094-96F0-7483ECD32EBE}" name="Table1" displayName="Table1" ref="A1:H5" totalsRowShown="0" headerRowDxfId="2">
  <autoFilter ref="A1:H5" xr:uid="{F8A6D16B-AB26-4546-A37E-48C3AE0062DE}"/>
  <sortState xmlns:xlrd2="http://schemas.microsoft.com/office/spreadsheetml/2017/richdata2" ref="A2:H5">
    <sortCondition descending="1" ref="H1:H5"/>
  </sortState>
  <tableColumns count="8">
    <tableColumn id="1" xr3:uid="{95BF9555-3ADA-4769-AB57-5E3C7BD978B4}" name="Account Name"/>
    <tableColumn id="2" xr3:uid="{FC85BE52-08A8-4046-9674-FB45E15554BD}" name="Decision Maker"/>
    <tableColumn id="3" xr3:uid="{78838D61-85EB-446C-82BA-66FE304A15BC}" name="Phone Number"/>
    <tableColumn id="4" xr3:uid="{FBF07881-2223-4346-9ECD-E5A9D820A757}" name="Account Type"/>
    <tableColumn id="8" xr3:uid="{102BB3E3-F2D8-42C7-A00C-6E9E07BB89AC}" name="Product 1"/>
    <tableColumn id="9" xr3:uid="{85EC1DE5-8DB6-4A2D-9ABB-F4CAE9423737}" name="Product 2"/>
    <tableColumn id="10" xr3:uid="{E9D38F86-C005-47F0-9C8E-2868125C6364}" name="Product 3"/>
    <tableColumn id="5" xr3:uid="{4207B421-28FF-486A-81A4-27658D2E1389}" name="overall sales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S69"/>
  <sheetViews>
    <sheetView tabSelected="1" workbookViewId="0">
      <selection activeCell="J50" sqref="J50"/>
    </sheetView>
  </sheetViews>
  <sheetFormatPr defaultRowHeight="14.4" x14ac:dyDescent="0.3"/>
  <cols>
    <col min="1" max="1" width="14.33203125" customWidth="1"/>
    <col min="2" max="2" width="41.109375" customWidth="1"/>
    <col min="3" max="3" width="21.109375" customWidth="1"/>
    <col min="4" max="4" width="16.6640625" customWidth="1"/>
    <col min="5" max="5" width="22" bestFit="1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9" max="19" width="12.44140625" customWidth="1"/>
  </cols>
  <sheetData>
    <row r="1" spans="1:19" ht="18" x14ac:dyDescent="0.35">
      <c r="A1" s="2" t="s">
        <v>0</v>
      </c>
    </row>
    <row r="3" spans="1:19" x14ac:dyDescent="0.3">
      <c r="A3" s="1"/>
      <c r="B3" s="1"/>
      <c r="C3" s="1"/>
      <c r="D3" s="1"/>
      <c r="E3" s="1"/>
      <c r="F3" s="12" t="s">
        <v>1</v>
      </c>
      <c r="G3" s="13"/>
      <c r="H3" s="13"/>
      <c r="I3" s="8" t="s">
        <v>2</v>
      </c>
      <c r="J3" s="9"/>
      <c r="K3" s="9"/>
      <c r="L3" s="9"/>
      <c r="M3" s="10" t="s">
        <v>3</v>
      </c>
      <c r="N3" s="11"/>
      <c r="O3" s="11"/>
      <c r="P3" s="11"/>
      <c r="Q3" s="11"/>
      <c r="R3" s="3"/>
      <c r="S3" s="3"/>
    </row>
    <row r="4" spans="1:19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5">
        <v>2017</v>
      </c>
      <c r="N4" s="5">
        <v>2018</v>
      </c>
      <c r="O4" s="5">
        <v>2019</v>
      </c>
      <c r="P4" s="5">
        <v>2020</v>
      </c>
      <c r="Q4" s="5">
        <v>2021</v>
      </c>
      <c r="R4" s="1" t="s">
        <v>264</v>
      </c>
      <c r="S4" s="1" t="s">
        <v>16</v>
      </c>
    </row>
    <row r="5" spans="1:19" x14ac:dyDescent="0.3">
      <c r="A5" t="s">
        <v>80</v>
      </c>
      <c r="B5" t="s">
        <v>81</v>
      </c>
      <c r="C5" t="s">
        <v>82</v>
      </c>
      <c r="D5" t="s">
        <v>83</v>
      </c>
      <c r="E5" t="s">
        <v>84</v>
      </c>
      <c r="F5" t="s">
        <v>22</v>
      </c>
      <c r="G5" t="s">
        <v>22</v>
      </c>
      <c r="H5" t="s">
        <v>27</v>
      </c>
      <c r="I5" t="s">
        <v>27</v>
      </c>
      <c r="J5" t="s">
        <v>27</v>
      </c>
      <c r="K5" t="s">
        <v>27</v>
      </c>
      <c r="L5" t="s">
        <v>27</v>
      </c>
      <c r="M5">
        <v>3501</v>
      </c>
      <c r="N5">
        <v>7079</v>
      </c>
      <c r="O5">
        <v>7438</v>
      </c>
      <c r="P5">
        <v>7443</v>
      </c>
      <c r="Q5">
        <v>9225</v>
      </c>
      <c r="R5">
        <f>SUM(M5:Q5)</f>
        <v>34686</v>
      </c>
      <c r="S5" s="4">
        <v>0.27407081068210992</v>
      </c>
    </row>
    <row r="6" spans="1:19" x14ac:dyDescent="0.3">
      <c r="A6" t="s">
        <v>117</v>
      </c>
      <c r="B6" t="s">
        <v>118</v>
      </c>
      <c r="C6" t="s">
        <v>119</v>
      </c>
      <c r="D6" t="s">
        <v>120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22</v>
      </c>
      <c r="K6" t="s">
        <v>22</v>
      </c>
      <c r="L6" t="s">
        <v>27</v>
      </c>
      <c r="M6">
        <v>570</v>
      </c>
      <c r="N6">
        <v>1322</v>
      </c>
      <c r="O6">
        <v>7279</v>
      </c>
      <c r="P6">
        <v>8443</v>
      </c>
      <c r="Q6">
        <v>9571</v>
      </c>
      <c r="R6">
        <f t="shared" ref="R6:R64" si="0">SUM(M6:Q6)</f>
        <v>27185</v>
      </c>
      <c r="S6" s="4">
        <v>1.0242801438529217</v>
      </c>
    </row>
    <row r="7" spans="1:19" x14ac:dyDescent="0.3">
      <c r="A7" t="s">
        <v>121</v>
      </c>
      <c r="B7" t="s">
        <v>122</v>
      </c>
      <c r="C7" t="s">
        <v>123</v>
      </c>
      <c r="D7" t="s">
        <v>124</v>
      </c>
      <c r="E7" t="s">
        <v>84</v>
      </c>
      <c r="F7" t="s">
        <v>22</v>
      </c>
      <c r="G7" t="s">
        <v>27</v>
      </c>
      <c r="H7" t="s">
        <v>27</v>
      </c>
      <c r="I7" t="s">
        <v>27</v>
      </c>
      <c r="J7" t="s">
        <v>22</v>
      </c>
      <c r="K7" t="s">
        <v>27</v>
      </c>
      <c r="L7" t="s">
        <v>27</v>
      </c>
      <c r="M7">
        <v>6156</v>
      </c>
      <c r="N7">
        <v>6110</v>
      </c>
      <c r="O7">
        <v>5791</v>
      </c>
      <c r="P7">
        <v>1759</v>
      </c>
      <c r="Q7">
        <v>969</v>
      </c>
      <c r="R7">
        <f t="shared" si="0"/>
        <v>20785</v>
      </c>
      <c r="S7" s="4">
        <v>-0.37012221518144006</v>
      </c>
    </row>
    <row r="8" spans="1:19" x14ac:dyDescent="0.3">
      <c r="A8" t="s">
        <v>125</v>
      </c>
      <c r="B8" t="s">
        <v>126</v>
      </c>
      <c r="C8" t="s">
        <v>127</v>
      </c>
      <c r="D8" t="s">
        <v>128</v>
      </c>
      <c r="E8" t="s">
        <v>84</v>
      </c>
      <c r="F8" t="s">
        <v>22</v>
      </c>
      <c r="G8" t="s">
        <v>22</v>
      </c>
      <c r="H8" t="s">
        <v>27</v>
      </c>
      <c r="I8" t="s">
        <v>22</v>
      </c>
      <c r="J8" t="s">
        <v>22</v>
      </c>
      <c r="K8" t="s">
        <v>22</v>
      </c>
      <c r="L8" t="s">
        <v>27</v>
      </c>
      <c r="M8">
        <v>209</v>
      </c>
      <c r="N8">
        <v>621</v>
      </c>
      <c r="O8">
        <v>3098</v>
      </c>
      <c r="P8">
        <v>7118</v>
      </c>
      <c r="Q8">
        <v>8433</v>
      </c>
      <c r="R8">
        <f t="shared" si="0"/>
        <v>19479</v>
      </c>
      <c r="S8" s="4">
        <v>1.5203389637502625</v>
      </c>
    </row>
    <row r="9" spans="1:19" x14ac:dyDescent="0.3">
      <c r="A9" t="s">
        <v>129</v>
      </c>
      <c r="B9" t="s">
        <v>130</v>
      </c>
      <c r="C9" t="s">
        <v>131</v>
      </c>
      <c r="D9" t="s">
        <v>132</v>
      </c>
      <c r="E9" t="s">
        <v>84</v>
      </c>
      <c r="F9" t="s">
        <v>22</v>
      </c>
      <c r="G9" t="s">
        <v>22</v>
      </c>
      <c r="H9" t="s">
        <v>27</v>
      </c>
      <c r="I9" t="s">
        <v>27</v>
      </c>
      <c r="J9" t="s">
        <v>27</v>
      </c>
      <c r="K9" t="s">
        <v>27</v>
      </c>
      <c r="L9" t="s">
        <v>27</v>
      </c>
      <c r="M9">
        <v>6309</v>
      </c>
      <c r="N9">
        <v>6227</v>
      </c>
      <c r="O9">
        <v>5123</v>
      </c>
      <c r="P9">
        <v>4968</v>
      </c>
      <c r="Q9">
        <v>3857</v>
      </c>
      <c r="R9">
        <f t="shared" si="0"/>
        <v>26484</v>
      </c>
      <c r="S9" s="4">
        <v>-0.11575568185753915</v>
      </c>
    </row>
    <row r="10" spans="1:19" x14ac:dyDescent="0.3">
      <c r="A10" t="s">
        <v>133</v>
      </c>
      <c r="B10" t="s">
        <v>134</v>
      </c>
      <c r="C10" t="s">
        <v>135</v>
      </c>
      <c r="D10" t="s">
        <v>136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712</v>
      </c>
      <c r="N10">
        <v>4182</v>
      </c>
      <c r="O10">
        <v>6087</v>
      </c>
      <c r="P10">
        <v>7494</v>
      </c>
      <c r="Q10">
        <v>8599</v>
      </c>
      <c r="R10">
        <f t="shared" si="0"/>
        <v>27074</v>
      </c>
      <c r="S10" s="4">
        <v>0.86419779018759768</v>
      </c>
    </row>
    <row r="11" spans="1:19" x14ac:dyDescent="0.3">
      <c r="A11" t="s">
        <v>137</v>
      </c>
      <c r="B11" t="s">
        <v>138</v>
      </c>
      <c r="C11" t="s">
        <v>139</v>
      </c>
      <c r="D11" t="s">
        <v>140</v>
      </c>
      <c r="E11" t="s">
        <v>84</v>
      </c>
      <c r="F11" t="s">
        <v>22</v>
      </c>
      <c r="G11" t="s">
        <v>22</v>
      </c>
      <c r="H11" t="s">
        <v>27</v>
      </c>
      <c r="I11" t="s">
        <v>27</v>
      </c>
      <c r="J11" t="s">
        <v>27</v>
      </c>
      <c r="K11" t="s">
        <v>27</v>
      </c>
      <c r="L11" t="s">
        <v>27</v>
      </c>
      <c r="M11">
        <v>2390</v>
      </c>
      <c r="N11">
        <v>2415</v>
      </c>
      <c r="O11">
        <v>3461</v>
      </c>
      <c r="P11">
        <v>3850</v>
      </c>
      <c r="Q11">
        <v>4657</v>
      </c>
      <c r="R11">
        <f t="shared" si="0"/>
        <v>16773</v>
      </c>
      <c r="S11" s="4">
        <v>0.18148193130433588</v>
      </c>
    </row>
    <row r="12" spans="1:19" x14ac:dyDescent="0.3">
      <c r="A12" t="s">
        <v>85</v>
      </c>
      <c r="B12" t="s">
        <v>86</v>
      </c>
      <c r="C12" t="s">
        <v>87</v>
      </c>
      <c r="D12" t="s">
        <v>88</v>
      </c>
      <c r="E12" t="s">
        <v>84</v>
      </c>
      <c r="F12" t="s">
        <v>22</v>
      </c>
      <c r="G12" t="s">
        <v>22</v>
      </c>
      <c r="H12" t="s">
        <v>27</v>
      </c>
      <c r="I12" t="s">
        <v>27</v>
      </c>
      <c r="J12" t="s">
        <v>27</v>
      </c>
      <c r="K12" t="s">
        <v>27</v>
      </c>
      <c r="L12" t="s">
        <v>27</v>
      </c>
      <c r="M12">
        <v>3916</v>
      </c>
      <c r="N12">
        <v>4218</v>
      </c>
      <c r="O12">
        <v>5072</v>
      </c>
      <c r="P12">
        <v>5201</v>
      </c>
      <c r="Q12">
        <v>7588</v>
      </c>
      <c r="R12">
        <f t="shared" si="0"/>
        <v>25995</v>
      </c>
      <c r="S12" s="4">
        <v>0.17983468576187267</v>
      </c>
    </row>
    <row r="13" spans="1:19" x14ac:dyDescent="0.3">
      <c r="A13" t="s">
        <v>89</v>
      </c>
      <c r="B13" t="s">
        <v>90</v>
      </c>
      <c r="C13" t="s">
        <v>91</v>
      </c>
      <c r="D13" t="s">
        <v>92</v>
      </c>
      <c r="E13" t="s">
        <v>84</v>
      </c>
      <c r="F13" t="s">
        <v>22</v>
      </c>
      <c r="G13" t="s">
        <v>22</v>
      </c>
      <c r="H13" t="s">
        <v>27</v>
      </c>
      <c r="I13" t="s">
        <v>22</v>
      </c>
      <c r="J13" t="s">
        <v>27</v>
      </c>
      <c r="K13" t="s">
        <v>22</v>
      </c>
      <c r="L13" t="s">
        <v>27</v>
      </c>
      <c r="M13">
        <v>700</v>
      </c>
      <c r="N13">
        <v>5721</v>
      </c>
      <c r="O13">
        <v>6247</v>
      </c>
      <c r="P13">
        <v>8495</v>
      </c>
      <c r="Q13">
        <v>9236</v>
      </c>
      <c r="R13">
        <f t="shared" si="0"/>
        <v>30399</v>
      </c>
      <c r="S13" s="4">
        <v>0.90588403033885334</v>
      </c>
    </row>
    <row r="14" spans="1:19" x14ac:dyDescent="0.3">
      <c r="A14" t="s">
        <v>93</v>
      </c>
      <c r="B14" t="s">
        <v>94</v>
      </c>
      <c r="C14" t="s">
        <v>95</v>
      </c>
      <c r="D14" t="s">
        <v>96</v>
      </c>
      <c r="E14" t="s">
        <v>84</v>
      </c>
      <c r="F14" t="s">
        <v>22</v>
      </c>
      <c r="G14" t="s">
        <v>22</v>
      </c>
      <c r="H14" t="s">
        <v>27</v>
      </c>
      <c r="I14" t="s">
        <v>27</v>
      </c>
      <c r="J14" t="s">
        <v>27</v>
      </c>
      <c r="K14" t="s">
        <v>27</v>
      </c>
      <c r="L14" t="s">
        <v>27</v>
      </c>
      <c r="M14">
        <v>9773</v>
      </c>
      <c r="N14">
        <v>9179</v>
      </c>
      <c r="O14">
        <v>8390</v>
      </c>
      <c r="P14">
        <v>8256</v>
      </c>
      <c r="Q14">
        <v>3815</v>
      </c>
      <c r="R14">
        <f t="shared" si="0"/>
        <v>39413</v>
      </c>
      <c r="S14" s="4">
        <v>-0.20956409258224717</v>
      </c>
    </row>
    <row r="15" spans="1:19" x14ac:dyDescent="0.3">
      <c r="A15" t="s">
        <v>97</v>
      </c>
      <c r="B15" t="s">
        <v>98</v>
      </c>
      <c r="C15" t="s">
        <v>99</v>
      </c>
      <c r="D15" t="s">
        <v>100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27</v>
      </c>
      <c r="K15" t="s">
        <v>22</v>
      </c>
      <c r="L15" t="s">
        <v>27</v>
      </c>
      <c r="M15">
        <v>73</v>
      </c>
      <c r="N15">
        <v>3485</v>
      </c>
      <c r="O15">
        <v>4592</v>
      </c>
      <c r="P15">
        <v>5143</v>
      </c>
      <c r="Q15">
        <v>8100</v>
      </c>
      <c r="R15">
        <f t="shared" si="0"/>
        <v>21393</v>
      </c>
      <c r="S15" s="4">
        <v>2.2455667067018901</v>
      </c>
    </row>
    <row r="16" spans="1:19" x14ac:dyDescent="0.3">
      <c r="A16" t="s">
        <v>101</v>
      </c>
      <c r="B16" t="s">
        <v>102</v>
      </c>
      <c r="C16" t="s">
        <v>103</v>
      </c>
      <c r="D16" t="s">
        <v>104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27</v>
      </c>
      <c r="K16" t="s">
        <v>22</v>
      </c>
      <c r="L16" t="s">
        <v>27</v>
      </c>
      <c r="M16">
        <v>238</v>
      </c>
      <c r="N16">
        <v>1235</v>
      </c>
      <c r="O16">
        <v>1822</v>
      </c>
      <c r="P16">
        <v>7074</v>
      </c>
      <c r="Q16">
        <v>8207</v>
      </c>
      <c r="R16">
        <f t="shared" si="0"/>
        <v>18576</v>
      </c>
      <c r="S16" s="4">
        <v>1.4232703532020747</v>
      </c>
    </row>
    <row r="17" spans="1:19" x14ac:dyDescent="0.3">
      <c r="A17" t="s">
        <v>105</v>
      </c>
      <c r="B17" t="s">
        <v>106</v>
      </c>
      <c r="C17" t="s">
        <v>107</v>
      </c>
      <c r="D17" t="s">
        <v>108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1368</v>
      </c>
      <c r="N17">
        <v>3447</v>
      </c>
      <c r="O17">
        <v>4535</v>
      </c>
      <c r="P17">
        <v>5476</v>
      </c>
      <c r="Q17">
        <v>9983</v>
      </c>
      <c r="R17">
        <f t="shared" si="0"/>
        <v>24809</v>
      </c>
      <c r="S17" s="4">
        <v>0.64359095818904954</v>
      </c>
    </row>
    <row r="18" spans="1:19" x14ac:dyDescent="0.3">
      <c r="A18" t="s">
        <v>109</v>
      </c>
      <c r="B18" t="s">
        <v>110</v>
      </c>
      <c r="C18" t="s">
        <v>111</v>
      </c>
      <c r="D18" t="s">
        <v>112</v>
      </c>
      <c r="E18" t="s">
        <v>84</v>
      </c>
      <c r="F18" t="s">
        <v>22</v>
      </c>
      <c r="G18" t="s">
        <v>27</v>
      </c>
      <c r="H18" t="s">
        <v>27</v>
      </c>
      <c r="I18" t="s">
        <v>27</v>
      </c>
      <c r="J18" t="s">
        <v>22</v>
      </c>
      <c r="K18" t="s">
        <v>27</v>
      </c>
      <c r="L18" t="s">
        <v>27</v>
      </c>
      <c r="M18">
        <v>8331</v>
      </c>
      <c r="N18">
        <v>7667</v>
      </c>
      <c r="O18">
        <v>5952</v>
      </c>
      <c r="P18">
        <v>1998</v>
      </c>
      <c r="Q18">
        <v>375</v>
      </c>
      <c r="R18">
        <f t="shared" si="0"/>
        <v>24323</v>
      </c>
      <c r="S18" s="4">
        <v>-0.53938981874158332</v>
      </c>
    </row>
    <row r="19" spans="1:19" x14ac:dyDescent="0.3">
      <c r="A19" t="s">
        <v>113</v>
      </c>
      <c r="B19" t="s">
        <v>114</v>
      </c>
      <c r="C19" t="s">
        <v>115</v>
      </c>
      <c r="D19" t="s">
        <v>116</v>
      </c>
      <c r="E19" t="s">
        <v>84</v>
      </c>
      <c r="F19" t="s">
        <v>22</v>
      </c>
      <c r="G19" t="s">
        <v>22</v>
      </c>
      <c r="H19" t="s">
        <v>27</v>
      </c>
      <c r="I19" t="s">
        <v>22</v>
      </c>
      <c r="J19" t="s">
        <v>22</v>
      </c>
      <c r="K19" t="s">
        <v>22</v>
      </c>
      <c r="L19" t="s">
        <v>27</v>
      </c>
      <c r="M19">
        <v>1779</v>
      </c>
      <c r="N19">
        <v>2124</v>
      </c>
      <c r="O19">
        <v>2844</v>
      </c>
      <c r="P19">
        <v>6877</v>
      </c>
      <c r="Q19">
        <v>9570</v>
      </c>
      <c r="R19">
        <f t="shared" si="0"/>
        <v>23194</v>
      </c>
      <c r="S19" s="4">
        <v>0.52294422157633269</v>
      </c>
    </row>
    <row r="20" spans="1:19" x14ac:dyDescent="0.3">
      <c r="A20" t="s">
        <v>141</v>
      </c>
      <c r="B20" t="s">
        <v>142</v>
      </c>
      <c r="C20" t="s">
        <v>143</v>
      </c>
      <c r="D20" t="s">
        <v>144</v>
      </c>
      <c r="E20" t="s">
        <v>145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2519</v>
      </c>
      <c r="N20">
        <v>3938</v>
      </c>
      <c r="O20">
        <v>5190</v>
      </c>
      <c r="P20">
        <v>8203</v>
      </c>
      <c r="Q20">
        <v>8780</v>
      </c>
      <c r="R20">
        <f t="shared" si="0"/>
        <v>28630</v>
      </c>
      <c r="S20" s="4">
        <v>0.36636455401735013</v>
      </c>
    </row>
    <row r="21" spans="1:19" x14ac:dyDescent="0.3">
      <c r="A21" t="s">
        <v>178</v>
      </c>
      <c r="B21" t="s">
        <v>179</v>
      </c>
      <c r="C21" t="s">
        <v>180</v>
      </c>
      <c r="D21" t="s">
        <v>181</v>
      </c>
      <c r="E21" t="s">
        <v>145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376</v>
      </c>
      <c r="N21">
        <v>889</v>
      </c>
      <c r="O21">
        <v>4373</v>
      </c>
      <c r="P21">
        <v>6803</v>
      </c>
      <c r="Q21">
        <v>7578</v>
      </c>
      <c r="R21">
        <f t="shared" si="0"/>
        <v>20019</v>
      </c>
      <c r="S21" s="4">
        <v>1.1188084145320056</v>
      </c>
    </row>
    <row r="22" spans="1:19" x14ac:dyDescent="0.3">
      <c r="A22" t="s">
        <v>182</v>
      </c>
      <c r="B22" t="s">
        <v>183</v>
      </c>
      <c r="C22" t="s">
        <v>184</v>
      </c>
      <c r="D22" t="s">
        <v>185</v>
      </c>
      <c r="E22" t="s">
        <v>145</v>
      </c>
      <c r="F22" t="s">
        <v>22</v>
      </c>
      <c r="G22" t="s">
        <v>27</v>
      </c>
      <c r="H22" t="s">
        <v>27</v>
      </c>
      <c r="I22" t="s">
        <v>27</v>
      </c>
      <c r="J22" t="s">
        <v>27</v>
      </c>
      <c r="K22" t="s">
        <v>22</v>
      </c>
      <c r="L22" t="s">
        <v>22</v>
      </c>
      <c r="M22">
        <v>7840</v>
      </c>
      <c r="N22">
        <v>5804</v>
      </c>
      <c r="O22">
        <v>4259</v>
      </c>
      <c r="P22">
        <v>4243</v>
      </c>
      <c r="Q22">
        <v>907</v>
      </c>
      <c r="R22">
        <f t="shared" si="0"/>
        <v>23053</v>
      </c>
      <c r="S22" s="4">
        <v>-0.41679289513417705</v>
      </c>
    </row>
    <row r="23" spans="1:19" x14ac:dyDescent="0.3">
      <c r="A23" t="s">
        <v>186</v>
      </c>
      <c r="B23" t="s">
        <v>187</v>
      </c>
      <c r="C23" t="s">
        <v>188</v>
      </c>
      <c r="D23" t="s">
        <v>189</v>
      </c>
      <c r="E23" t="s">
        <v>145</v>
      </c>
      <c r="F23" t="s">
        <v>22</v>
      </c>
      <c r="G23" t="s">
        <v>22</v>
      </c>
      <c r="H23" t="s">
        <v>22</v>
      </c>
      <c r="I23" t="s">
        <v>22</v>
      </c>
      <c r="J23" t="s">
        <v>22</v>
      </c>
      <c r="K23" t="s">
        <v>22</v>
      </c>
      <c r="L23" t="s">
        <v>22</v>
      </c>
      <c r="M23">
        <v>1038</v>
      </c>
      <c r="N23">
        <v>3615</v>
      </c>
      <c r="O23">
        <v>3712</v>
      </c>
      <c r="P23">
        <v>5819</v>
      </c>
      <c r="Q23">
        <v>9589</v>
      </c>
      <c r="R23">
        <f t="shared" si="0"/>
        <v>23773</v>
      </c>
      <c r="S23" s="4">
        <v>0.74338775485751718</v>
      </c>
    </row>
    <row r="24" spans="1:19" x14ac:dyDescent="0.3">
      <c r="A24" t="s">
        <v>190</v>
      </c>
      <c r="B24" t="s">
        <v>191</v>
      </c>
      <c r="C24" t="s">
        <v>192</v>
      </c>
      <c r="D24" t="s">
        <v>193</v>
      </c>
      <c r="E24" t="s">
        <v>145</v>
      </c>
      <c r="F24" t="s">
        <v>22</v>
      </c>
      <c r="G24" t="s">
        <v>22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  <c r="M24">
        <v>8891</v>
      </c>
      <c r="N24">
        <v>5952</v>
      </c>
      <c r="O24">
        <v>5914</v>
      </c>
      <c r="P24">
        <v>5405</v>
      </c>
      <c r="Q24">
        <v>4031</v>
      </c>
      <c r="R24">
        <f t="shared" si="0"/>
        <v>30193</v>
      </c>
      <c r="S24" s="4">
        <v>-0.17943016656995925</v>
      </c>
    </row>
    <row r="25" spans="1:19" x14ac:dyDescent="0.3">
      <c r="A25" t="s">
        <v>194</v>
      </c>
      <c r="B25" t="s">
        <v>195</v>
      </c>
      <c r="C25" t="s">
        <v>196</v>
      </c>
      <c r="D25" t="s">
        <v>197</v>
      </c>
      <c r="E25" t="s">
        <v>145</v>
      </c>
      <c r="F25" t="s">
        <v>22</v>
      </c>
      <c r="G25" t="s">
        <v>22</v>
      </c>
      <c r="H25" t="s">
        <v>22</v>
      </c>
      <c r="I25" t="s">
        <v>22</v>
      </c>
      <c r="J25" t="s">
        <v>27</v>
      </c>
      <c r="K25" t="s">
        <v>27</v>
      </c>
      <c r="L25" t="s">
        <v>27</v>
      </c>
      <c r="M25">
        <v>1290</v>
      </c>
      <c r="N25">
        <v>4033</v>
      </c>
      <c r="O25">
        <v>6956</v>
      </c>
      <c r="P25">
        <v>7929</v>
      </c>
      <c r="Q25">
        <v>8834</v>
      </c>
      <c r="R25">
        <f t="shared" si="0"/>
        <v>29042</v>
      </c>
      <c r="S25" s="4">
        <v>0.61767741115573149</v>
      </c>
    </row>
    <row r="26" spans="1:19" x14ac:dyDescent="0.3">
      <c r="A26" t="s">
        <v>198</v>
      </c>
      <c r="B26" t="s">
        <v>199</v>
      </c>
      <c r="C26" t="s">
        <v>200</v>
      </c>
      <c r="D26" t="s">
        <v>201</v>
      </c>
      <c r="E26" t="s">
        <v>145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27</v>
      </c>
      <c r="L26" t="s">
        <v>27</v>
      </c>
      <c r="M26">
        <v>431</v>
      </c>
      <c r="N26">
        <v>6231</v>
      </c>
      <c r="O26">
        <v>7478</v>
      </c>
      <c r="P26">
        <v>8039</v>
      </c>
      <c r="Q26">
        <v>8271</v>
      </c>
      <c r="R26">
        <f t="shared" si="0"/>
        <v>30450</v>
      </c>
      <c r="S26" s="4">
        <v>1.0930046233022455</v>
      </c>
    </row>
    <row r="27" spans="1:19" x14ac:dyDescent="0.3">
      <c r="A27" t="s">
        <v>146</v>
      </c>
      <c r="B27" t="s">
        <v>147</v>
      </c>
      <c r="C27" t="s">
        <v>148</v>
      </c>
      <c r="D27" t="s">
        <v>149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27</v>
      </c>
      <c r="M27">
        <v>138</v>
      </c>
      <c r="N27">
        <v>286</v>
      </c>
      <c r="O27">
        <v>6750</v>
      </c>
      <c r="P27">
        <v>8254</v>
      </c>
      <c r="Q27">
        <v>8656</v>
      </c>
      <c r="R27">
        <f t="shared" si="0"/>
        <v>24084</v>
      </c>
      <c r="S27" s="4">
        <v>1.8142296888697582</v>
      </c>
    </row>
    <row r="28" spans="1:19" x14ac:dyDescent="0.3">
      <c r="A28" t="s">
        <v>150</v>
      </c>
      <c r="B28" t="s">
        <v>151</v>
      </c>
      <c r="C28" t="s">
        <v>152</v>
      </c>
      <c r="D28" t="s">
        <v>153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22</v>
      </c>
      <c r="M28">
        <v>8873</v>
      </c>
      <c r="N28">
        <v>8484</v>
      </c>
      <c r="O28">
        <v>7883</v>
      </c>
      <c r="P28">
        <v>7499</v>
      </c>
      <c r="Q28">
        <v>6592</v>
      </c>
      <c r="R28">
        <f t="shared" si="0"/>
        <v>39331</v>
      </c>
      <c r="S28" s="4">
        <v>-7.1596691853915484E-2</v>
      </c>
    </row>
    <row r="29" spans="1:19" x14ac:dyDescent="0.3">
      <c r="A29" t="s">
        <v>154</v>
      </c>
      <c r="B29" t="s">
        <v>155</v>
      </c>
      <c r="C29" t="s">
        <v>156</v>
      </c>
      <c r="D29" t="s">
        <v>157</v>
      </c>
      <c r="E29" t="s">
        <v>145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22</v>
      </c>
      <c r="L29" t="s">
        <v>22</v>
      </c>
      <c r="M29">
        <v>3297</v>
      </c>
      <c r="N29">
        <v>4866</v>
      </c>
      <c r="O29">
        <v>4928</v>
      </c>
      <c r="P29">
        <v>8451</v>
      </c>
      <c r="Q29">
        <v>9585</v>
      </c>
      <c r="R29">
        <f t="shared" si="0"/>
        <v>31127</v>
      </c>
      <c r="S29" s="4">
        <v>0.30577482876902251</v>
      </c>
    </row>
    <row r="30" spans="1:19" x14ac:dyDescent="0.3">
      <c r="A30" t="s">
        <v>158</v>
      </c>
      <c r="B30" t="s">
        <v>159</v>
      </c>
      <c r="C30" t="s">
        <v>160</v>
      </c>
      <c r="D30" t="s">
        <v>161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22</v>
      </c>
      <c r="M30">
        <v>1092</v>
      </c>
      <c r="N30">
        <v>3140</v>
      </c>
      <c r="O30">
        <v>4123</v>
      </c>
      <c r="P30">
        <v>4366</v>
      </c>
      <c r="Q30">
        <v>9482</v>
      </c>
      <c r="R30">
        <f t="shared" si="0"/>
        <v>22203</v>
      </c>
      <c r="S30" s="4">
        <v>0.71660086943635504</v>
      </c>
    </row>
    <row r="31" spans="1:19" x14ac:dyDescent="0.3">
      <c r="A31" t="s">
        <v>162</v>
      </c>
      <c r="B31" t="s">
        <v>163</v>
      </c>
      <c r="C31" t="s">
        <v>164</v>
      </c>
      <c r="D31" t="s">
        <v>165</v>
      </c>
      <c r="E31" t="s">
        <v>145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22</v>
      </c>
      <c r="L31" t="s">
        <v>22</v>
      </c>
      <c r="M31">
        <v>2541</v>
      </c>
      <c r="N31">
        <v>3794</v>
      </c>
      <c r="O31">
        <v>3984</v>
      </c>
      <c r="P31">
        <v>8803</v>
      </c>
      <c r="Q31">
        <v>9338</v>
      </c>
      <c r="R31">
        <f t="shared" si="0"/>
        <v>28460</v>
      </c>
      <c r="S31" s="4">
        <v>0.38456165928272146</v>
      </c>
    </row>
    <row r="32" spans="1:19" x14ac:dyDescent="0.3">
      <c r="A32" t="s">
        <v>166</v>
      </c>
      <c r="B32" t="s">
        <v>167</v>
      </c>
      <c r="C32" t="s">
        <v>168</v>
      </c>
      <c r="D32" t="s">
        <v>169</v>
      </c>
      <c r="E32" t="s">
        <v>145</v>
      </c>
      <c r="F32" t="s">
        <v>22</v>
      </c>
      <c r="G32" t="s">
        <v>22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742</v>
      </c>
      <c r="N32">
        <v>3751</v>
      </c>
      <c r="O32">
        <v>4423</v>
      </c>
      <c r="P32">
        <v>8733</v>
      </c>
      <c r="Q32">
        <v>9909</v>
      </c>
      <c r="R32">
        <f t="shared" si="0"/>
        <v>27558</v>
      </c>
      <c r="S32" s="4">
        <v>0.91164163510334228</v>
      </c>
    </row>
    <row r="33" spans="1:19" x14ac:dyDescent="0.3">
      <c r="A33" t="s">
        <v>170</v>
      </c>
      <c r="B33" t="s">
        <v>171</v>
      </c>
      <c r="C33" t="s">
        <v>172</v>
      </c>
      <c r="D33" t="s">
        <v>173</v>
      </c>
      <c r="E33" t="s">
        <v>145</v>
      </c>
      <c r="F33" t="s">
        <v>22</v>
      </c>
      <c r="G33" t="s">
        <v>27</v>
      </c>
      <c r="H33" t="s">
        <v>27</v>
      </c>
      <c r="I33" t="s">
        <v>27</v>
      </c>
      <c r="J33" t="s">
        <v>27</v>
      </c>
      <c r="K33" t="s">
        <v>22</v>
      </c>
      <c r="L33" t="s">
        <v>22</v>
      </c>
      <c r="M33">
        <v>7703</v>
      </c>
      <c r="N33">
        <v>6957</v>
      </c>
      <c r="O33">
        <v>3898</v>
      </c>
      <c r="P33">
        <v>1857</v>
      </c>
      <c r="Q33">
        <v>1512</v>
      </c>
      <c r="R33">
        <f t="shared" si="0"/>
        <v>21927</v>
      </c>
      <c r="S33" s="4">
        <v>-0.33438519484677687</v>
      </c>
    </row>
    <row r="34" spans="1:19" x14ac:dyDescent="0.3">
      <c r="A34" t="s">
        <v>174</v>
      </c>
      <c r="B34" t="s">
        <v>175</v>
      </c>
      <c r="C34" t="s">
        <v>176</v>
      </c>
      <c r="D34" t="s">
        <v>177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22</v>
      </c>
      <c r="L34" t="s">
        <v>22</v>
      </c>
      <c r="M34">
        <v>488</v>
      </c>
      <c r="N34">
        <v>5535</v>
      </c>
      <c r="O34">
        <v>5775</v>
      </c>
      <c r="P34">
        <v>7661</v>
      </c>
      <c r="Q34">
        <v>9206</v>
      </c>
      <c r="R34">
        <f t="shared" si="0"/>
        <v>28665</v>
      </c>
      <c r="S34" s="4">
        <v>1.084072328017021</v>
      </c>
    </row>
    <row r="35" spans="1:19" x14ac:dyDescent="0.3">
      <c r="A35" t="s">
        <v>17</v>
      </c>
      <c r="B35" t="s">
        <v>18</v>
      </c>
      <c r="C35" t="s">
        <v>19</v>
      </c>
      <c r="D35" t="s">
        <v>20</v>
      </c>
      <c r="E35" t="s">
        <v>21</v>
      </c>
      <c r="F35" t="s">
        <v>22</v>
      </c>
      <c r="G35" t="s">
        <v>22</v>
      </c>
      <c r="H35" t="s">
        <v>22</v>
      </c>
      <c r="I35" t="s">
        <v>22</v>
      </c>
      <c r="J35" t="s">
        <v>22</v>
      </c>
      <c r="K35" t="s">
        <v>22</v>
      </c>
      <c r="L35" t="s">
        <v>22</v>
      </c>
      <c r="M35">
        <v>1982</v>
      </c>
      <c r="N35">
        <v>5388</v>
      </c>
      <c r="O35">
        <v>7063</v>
      </c>
      <c r="P35">
        <v>7208</v>
      </c>
      <c r="Q35">
        <v>9093</v>
      </c>
      <c r="R35">
        <f t="shared" si="0"/>
        <v>30734</v>
      </c>
      <c r="S35" s="4">
        <v>0.46352749292411066</v>
      </c>
    </row>
    <row r="36" spans="1:19" x14ac:dyDescent="0.3">
      <c r="A36" t="s">
        <v>56</v>
      </c>
      <c r="B36" t="s">
        <v>57</v>
      </c>
      <c r="C36" t="s">
        <v>58</v>
      </c>
      <c r="D36" t="s">
        <v>59</v>
      </c>
      <c r="E36" t="s">
        <v>21</v>
      </c>
      <c r="F36" t="s">
        <v>22</v>
      </c>
      <c r="G36" t="s">
        <v>22</v>
      </c>
      <c r="H36" t="s">
        <v>27</v>
      </c>
      <c r="I36" t="s">
        <v>22</v>
      </c>
      <c r="J36" t="s">
        <v>27</v>
      </c>
      <c r="K36" t="s">
        <v>22</v>
      </c>
      <c r="L36" t="s">
        <v>27</v>
      </c>
      <c r="M36">
        <v>1530</v>
      </c>
      <c r="N36">
        <v>1620</v>
      </c>
      <c r="O36">
        <v>2027</v>
      </c>
      <c r="P36">
        <v>4881</v>
      </c>
      <c r="Q36">
        <v>6002</v>
      </c>
      <c r="R36">
        <f t="shared" si="0"/>
        <v>16060</v>
      </c>
      <c r="S36" s="4">
        <v>0.40734683274409145</v>
      </c>
    </row>
    <row r="37" spans="1:19" x14ac:dyDescent="0.3">
      <c r="A37" t="s">
        <v>60</v>
      </c>
      <c r="B37" t="s">
        <v>61</v>
      </c>
      <c r="C37" t="s">
        <v>62</v>
      </c>
      <c r="D37" t="s">
        <v>63</v>
      </c>
      <c r="E37" t="s">
        <v>21</v>
      </c>
      <c r="F37" t="s">
        <v>22</v>
      </c>
      <c r="G37" t="s">
        <v>27</v>
      </c>
      <c r="H37" t="s">
        <v>27</v>
      </c>
      <c r="I37" t="s">
        <v>27</v>
      </c>
      <c r="J37" t="s">
        <v>27</v>
      </c>
      <c r="K37" t="s">
        <v>27</v>
      </c>
      <c r="L37" t="s">
        <v>27</v>
      </c>
      <c r="M37">
        <v>7555</v>
      </c>
      <c r="N37">
        <v>6551</v>
      </c>
      <c r="O37">
        <v>5188</v>
      </c>
      <c r="P37">
        <v>3436</v>
      </c>
      <c r="Q37">
        <v>2359</v>
      </c>
      <c r="R37">
        <f t="shared" si="0"/>
        <v>25089</v>
      </c>
      <c r="S37" s="4">
        <v>-0.25247905109930902</v>
      </c>
    </row>
    <row r="38" spans="1:19" x14ac:dyDescent="0.3">
      <c r="A38" t="s">
        <v>64</v>
      </c>
      <c r="B38" t="s">
        <v>65</v>
      </c>
      <c r="C38" t="s">
        <v>66</v>
      </c>
      <c r="D38" t="s">
        <v>67</v>
      </c>
      <c r="E38" t="s">
        <v>21</v>
      </c>
      <c r="F38" t="s">
        <v>22</v>
      </c>
      <c r="G38" t="s">
        <v>27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>
        <v>1532</v>
      </c>
      <c r="N38">
        <v>2678</v>
      </c>
      <c r="O38">
        <v>4068</v>
      </c>
      <c r="P38">
        <v>4278</v>
      </c>
      <c r="Q38">
        <v>5382</v>
      </c>
      <c r="R38">
        <f t="shared" si="0"/>
        <v>17938</v>
      </c>
      <c r="S38" s="4">
        <v>0.3690560602470212</v>
      </c>
    </row>
    <row r="39" spans="1:19" x14ac:dyDescent="0.3">
      <c r="A39" t="s">
        <v>68</v>
      </c>
      <c r="B39" t="s">
        <v>69</v>
      </c>
      <c r="C39" t="s">
        <v>70</v>
      </c>
      <c r="D39" t="s">
        <v>71</v>
      </c>
      <c r="E39" t="s">
        <v>21</v>
      </c>
      <c r="F39" t="s">
        <v>22</v>
      </c>
      <c r="G39" t="s">
        <v>27</v>
      </c>
      <c r="H39" t="s">
        <v>22</v>
      </c>
      <c r="I39" t="s">
        <v>22</v>
      </c>
      <c r="J39" t="s">
        <v>22</v>
      </c>
      <c r="K39" t="s">
        <v>22</v>
      </c>
      <c r="L39" t="s">
        <v>22</v>
      </c>
      <c r="M39">
        <v>24</v>
      </c>
      <c r="N39">
        <v>1797</v>
      </c>
      <c r="O39">
        <v>3548</v>
      </c>
      <c r="P39">
        <v>3668</v>
      </c>
      <c r="Q39">
        <v>8592</v>
      </c>
      <c r="R39">
        <f t="shared" si="0"/>
        <v>17629</v>
      </c>
      <c r="S39" s="4">
        <v>3.3498147004699526</v>
      </c>
    </row>
    <row r="40" spans="1:19" x14ac:dyDescent="0.3">
      <c r="A40" t="s">
        <v>72</v>
      </c>
      <c r="B40" t="s">
        <v>73</v>
      </c>
      <c r="C40" t="s">
        <v>74</v>
      </c>
      <c r="D40" t="s">
        <v>75</v>
      </c>
      <c r="E40" t="s">
        <v>21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861</v>
      </c>
      <c r="N40">
        <v>1314</v>
      </c>
      <c r="O40">
        <v>1810</v>
      </c>
      <c r="P40">
        <v>6510</v>
      </c>
      <c r="Q40">
        <v>9271</v>
      </c>
      <c r="R40">
        <f t="shared" si="0"/>
        <v>19766</v>
      </c>
      <c r="S40" s="4">
        <v>0.81146879617010592</v>
      </c>
    </row>
    <row r="41" spans="1:19" x14ac:dyDescent="0.3">
      <c r="A41" t="s">
        <v>76</v>
      </c>
      <c r="B41" t="s">
        <v>77</v>
      </c>
      <c r="C41" t="s">
        <v>78</v>
      </c>
      <c r="D41" t="s">
        <v>79</v>
      </c>
      <c r="E41" t="s">
        <v>21</v>
      </c>
      <c r="F41" t="s">
        <v>22</v>
      </c>
      <c r="G41" t="s">
        <v>22</v>
      </c>
      <c r="H41" t="s">
        <v>27</v>
      </c>
      <c r="I41" t="s">
        <v>27</v>
      </c>
      <c r="J41" t="s">
        <v>27</v>
      </c>
      <c r="K41" t="s">
        <v>27</v>
      </c>
      <c r="L41" t="s">
        <v>27</v>
      </c>
      <c r="M41">
        <v>9058</v>
      </c>
      <c r="N41">
        <v>4839</v>
      </c>
      <c r="O41">
        <v>4776</v>
      </c>
      <c r="P41">
        <v>4024</v>
      </c>
      <c r="Q41">
        <v>369</v>
      </c>
      <c r="R41">
        <f t="shared" si="0"/>
        <v>23066</v>
      </c>
      <c r="S41" s="4">
        <v>-0.55073921414194782</v>
      </c>
    </row>
    <row r="42" spans="1:19" x14ac:dyDescent="0.3">
      <c r="A42" t="s">
        <v>23</v>
      </c>
      <c r="B42" t="s">
        <v>24</v>
      </c>
      <c r="C42" t="s">
        <v>25</v>
      </c>
      <c r="D42" t="s">
        <v>26</v>
      </c>
      <c r="E42" t="s">
        <v>21</v>
      </c>
      <c r="F42" t="s">
        <v>22</v>
      </c>
      <c r="G42" t="s">
        <v>22</v>
      </c>
      <c r="H42" t="s">
        <v>22</v>
      </c>
      <c r="I42" t="s">
        <v>27</v>
      </c>
      <c r="J42" t="s">
        <v>22</v>
      </c>
      <c r="K42" t="s">
        <v>22</v>
      </c>
      <c r="L42" t="s">
        <v>22</v>
      </c>
      <c r="M42">
        <v>2786</v>
      </c>
      <c r="N42">
        <v>3804</v>
      </c>
      <c r="O42">
        <v>4121</v>
      </c>
      <c r="P42">
        <v>6210</v>
      </c>
      <c r="Q42">
        <v>6909</v>
      </c>
      <c r="R42">
        <f t="shared" si="0"/>
        <v>23830</v>
      </c>
      <c r="S42" s="4">
        <v>0.25489826874508914</v>
      </c>
    </row>
    <row r="43" spans="1:19" x14ac:dyDescent="0.3">
      <c r="A43" t="s">
        <v>28</v>
      </c>
      <c r="B43" t="s">
        <v>29</v>
      </c>
      <c r="C43" t="s">
        <v>30</v>
      </c>
      <c r="D43" t="s">
        <v>31</v>
      </c>
      <c r="E43" t="s">
        <v>21</v>
      </c>
      <c r="F43" t="s">
        <v>22</v>
      </c>
      <c r="G43" t="s">
        <v>22</v>
      </c>
      <c r="H43" t="s">
        <v>22</v>
      </c>
      <c r="I43" t="s">
        <v>22</v>
      </c>
      <c r="J43" t="s">
        <v>22</v>
      </c>
      <c r="K43" t="s">
        <v>22</v>
      </c>
      <c r="L43" t="s">
        <v>22</v>
      </c>
      <c r="M43">
        <v>1209</v>
      </c>
      <c r="N43">
        <v>1534</v>
      </c>
      <c r="O43">
        <v>1634</v>
      </c>
      <c r="P43">
        <v>4302</v>
      </c>
      <c r="Q43">
        <v>9768</v>
      </c>
      <c r="R43">
        <f t="shared" si="0"/>
        <v>18447</v>
      </c>
      <c r="S43" s="4">
        <v>0.68595057009486848</v>
      </c>
    </row>
    <row r="44" spans="1:19" x14ac:dyDescent="0.3">
      <c r="A44" t="s">
        <v>32</v>
      </c>
      <c r="B44" t="s">
        <v>33</v>
      </c>
      <c r="C44" t="s">
        <v>34</v>
      </c>
      <c r="D44" t="s">
        <v>35</v>
      </c>
      <c r="E44" t="s">
        <v>21</v>
      </c>
      <c r="F44" t="s">
        <v>22</v>
      </c>
      <c r="G44" t="s">
        <v>22</v>
      </c>
      <c r="H44" t="s">
        <v>22</v>
      </c>
      <c r="I44" t="s">
        <v>22</v>
      </c>
      <c r="J44" t="s">
        <v>22</v>
      </c>
      <c r="K44" t="s">
        <v>22</v>
      </c>
      <c r="L44" t="s">
        <v>22</v>
      </c>
      <c r="M44">
        <v>906</v>
      </c>
      <c r="N44">
        <v>1251</v>
      </c>
      <c r="O44">
        <v>2897</v>
      </c>
      <c r="P44">
        <v>4499</v>
      </c>
      <c r="Q44">
        <v>9428</v>
      </c>
      <c r="R44">
        <f t="shared" si="0"/>
        <v>18981</v>
      </c>
      <c r="S44" s="4">
        <v>0.79606828454142997</v>
      </c>
    </row>
    <row r="45" spans="1:19" x14ac:dyDescent="0.3">
      <c r="A45" t="s">
        <v>36</v>
      </c>
      <c r="B45" t="s">
        <v>37</v>
      </c>
      <c r="C45" t="s">
        <v>38</v>
      </c>
      <c r="D45" t="s">
        <v>39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22</v>
      </c>
      <c r="K45" t="s">
        <v>22</v>
      </c>
      <c r="L45" t="s">
        <v>22</v>
      </c>
      <c r="M45">
        <v>1421</v>
      </c>
      <c r="N45">
        <v>1893</v>
      </c>
      <c r="O45">
        <v>2722</v>
      </c>
      <c r="P45">
        <v>4410</v>
      </c>
      <c r="Q45">
        <v>5873</v>
      </c>
      <c r="R45">
        <f t="shared" si="0"/>
        <v>16319</v>
      </c>
      <c r="S45" s="4">
        <v>0.42582583880267388</v>
      </c>
    </row>
    <row r="46" spans="1:19" x14ac:dyDescent="0.3">
      <c r="A46" t="s">
        <v>40</v>
      </c>
      <c r="B46" t="s">
        <v>41</v>
      </c>
      <c r="C46" t="s">
        <v>42</v>
      </c>
      <c r="D46" t="s">
        <v>43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27</v>
      </c>
      <c r="M46">
        <v>2341</v>
      </c>
      <c r="N46">
        <v>6105</v>
      </c>
      <c r="O46">
        <v>7777</v>
      </c>
      <c r="P46">
        <v>7891</v>
      </c>
      <c r="Q46">
        <v>8758</v>
      </c>
      <c r="R46">
        <f t="shared" si="0"/>
        <v>32872</v>
      </c>
      <c r="S46" s="4">
        <v>0.390755806385503</v>
      </c>
    </row>
    <row r="47" spans="1:19" x14ac:dyDescent="0.3">
      <c r="A47" t="s">
        <v>44</v>
      </c>
      <c r="B47" t="s">
        <v>45</v>
      </c>
      <c r="C47" t="s">
        <v>46</v>
      </c>
      <c r="D47" t="s">
        <v>47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22</v>
      </c>
      <c r="L47" t="s">
        <v>27</v>
      </c>
      <c r="M47">
        <v>9252</v>
      </c>
      <c r="N47">
        <v>8499</v>
      </c>
      <c r="O47">
        <v>991</v>
      </c>
      <c r="P47">
        <v>448</v>
      </c>
      <c r="Q47">
        <v>211</v>
      </c>
      <c r="R47">
        <f t="shared" si="0"/>
        <v>19401</v>
      </c>
      <c r="S47" s="4">
        <v>-0.61139202601329412</v>
      </c>
    </row>
    <row r="48" spans="1:19" x14ac:dyDescent="0.3">
      <c r="A48" t="s">
        <v>48</v>
      </c>
      <c r="B48" t="s">
        <v>49</v>
      </c>
      <c r="C48" t="s">
        <v>50</v>
      </c>
      <c r="D48" t="s">
        <v>51</v>
      </c>
      <c r="E48" t="s">
        <v>21</v>
      </c>
      <c r="F48" t="s">
        <v>22</v>
      </c>
      <c r="G48" t="s">
        <v>27</v>
      </c>
      <c r="H48" t="s">
        <v>22</v>
      </c>
      <c r="I48" t="s">
        <v>22</v>
      </c>
      <c r="J48" t="s">
        <v>27</v>
      </c>
      <c r="K48" t="s">
        <v>22</v>
      </c>
      <c r="L48" t="s">
        <v>27</v>
      </c>
      <c r="M48">
        <v>1581</v>
      </c>
      <c r="N48">
        <v>4799</v>
      </c>
      <c r="O48">
        <v>6582</v>
      </c>
      <c r="P48">
        <v>9024</v>
      </c>
      <c r="Q48">
        <v>9759</v>
      </c>
      <c r="R48">
        <f t="shared" si="0"/>
        <v>31745</v>
      </c>
      <c r="S48" s="4">
        <v>0.57622554654037406</v>
      </c>
    </row>
    <row r="49" spans="1:19" x14ac:dyDescent="0.3">
      <c r="A49" t="s">
        <v>52</v>
      </c>
      <c r="B49" t="s">
        <v>53</v>
      </c>
      <c r="C49" t="s">
        <v>54</v>
      </c>
      <c r="D49" t="s">
        <v>55</v>
      </c>
      <c r="E49" t="s">
        <v>21</v>
      </c>
      <c r="F49" t="s">
        <v>22</v>
      </c>
      <c r="G49" t="s">
        <v>27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9766</v>
      </c>
      <c r="N49">
        <v>8049</v>
      </c>
      <c r="O49">
        <v>5556</v>
      </c>
      <c r="P49">
        <v>5202</v>
      </c>
      <c r="Q49">
        <v>2373</v>
      </c>
      <c r="R49">
        <f t="shared" si="0"/>
        <v>30946</v>
      </c>
      <c r="S49" s="4">
        <v>-0.29790601141591733</v>
      </c>
    </row>
    <row r="50" spans="1:19" x14ac:dyDescent="0.3">
      <c r="A50" t="s">
        <v>202</v>
      </c>
      <c r="B50" t="s">
        <v>203</v>
      </c>
      <c r="C50" t="s">
        <v>204</v>
      </c>
      <c r="D50" t="s">
        <v>205</v>
      </c>
      <c r="E50" t="s">
        <v>206</v>
      </c>
      <c r="F50" t="s">
        <v>22</v>
      </c>
      <c r="G50" t="s">
        <v>27</v>
      </c>
      <c r="H50" t="s">
        <v>27</v>
      </c>
      <c r="I50" t="s">
        <v>27</v>
      </c>
      <c r="J50" t="s">
        <v>27</v>
      </c>
      <c r="K50" t="s">
        <v>22</v>
      </c>
      <c r="L50" t="s">
        <v>27</v>
      </c>
      <c r="M50">
        <v>8156</v>
      </c>
      <c r="N50">
        <v>1245</v>
      </c>
      <c r="O50">
        <v>791</v>
      </c>
      <c r="P50">
        <v>338</v>
      </c>
      <c r="Q50">
        <v>44</v>
      </c>
      <c r="R50">
        <f t="shared" si="0"/>
        <v>10574</v>
      </c>
      <c r="S50" s="4">
        <v>-0.72898466539472961</v>
      </c>
    </row>
    <row r="51" spans="1:19" x14ac:dyDescent="0.3">
      <c r="A51" t="s">
        <v>239</v>
      </c>
      <c r="B51" t="s">
        <v>240</v>
      </c>
      <c r="C51" t="s">
        <v>241</v>
      </c>
      <c r="D51" t="s">
        <v>242</v>
      </c>
      <c r="E51" t="s">
        <v>206</v>
      </c>
      <c r="F51" t="s">
        <v>22</v>
      </c>
      <c r="G51" t="s">
        <v>27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576</v>
      </c>
      <c r="N51">
        <v>2628</v>
      </c>
      <c r="O51">
        <v>3612</v>
      </c>
      <c r="P51">
        <v>5066</v>
      </c>
      <c r="Q51">
        <v>5156</v>
      </c>
      <c r="R51">
        <f t="shared" si="0"/>
        <v>17038</v>
      </c>
      <c r="S51" s="4">
        <v>0.72970725225475852</v>
      </c>
    </row>
    <row r="52" spans="1:19" x14ac:dyDescent="0.3">
      <c r="A52" t="s">
        <v>243</v>
      </c>
      <c r="B52" t="s">
        <v>244</v>
      </c>
      <c r="C52" t="s">
        <v>245</v>
      </c>
      <c r="D52" t="s">
        <v>246</v>
      </c>
      <c r="E52" t="s">
        <v>206</v>
      </c>
      <c r="F52" t="s">
        <v>22</v>
      </c>
      <c r="G52" t="s">
        <v>22</v>
      </c>
      <c r="H52" t="s">
        <v>22</v>
      </c>
      <c r="I52" t="s">
        <v>27</v>
      </c>
      <c r="J52" t="s">
        <v>27</v>
      </c>
      <c r="K52" t="s">
        <v>22</v>
      </c>
      <c r="L52" t="s">
        <v>27</v>
      </c>
      <c r="M52">
        <v>128</v>
      </c>
      <c r="N52">
        <v>416</v>
      </c>
      <c r="O52">
        <v>747</v>
      </c>
      <c r="P52">
        <v>1028</v>
      </c>
      <c r="Q52">
        <v>6357</v>
      </c>
      <c r="R52">
        <f t="shared" si="0"/>
        <v>8676</v>
      </c>
      <c r="S52" s="4">
        <v>1.6546701130112136</v>
      </c>
    </row>
    <row r="53" spans="1:19" x14ac:dyDescent="0.3">
      <c r="A53" t="s">
        <v>247</v>
      </c>
      <c r="B53" t="s">
        <v>248</v>
      </c>
      <c r="C53" t="s">
        <v>249</v>
      </c>
      <c r="D53" t="s">
        <v>250</v>
      </c>
      <c r="E53" t="s">
        <v>206</v>
      </c>
      <c r="F53" t="s">
        <v>22</v>
      </c>
      <c r="G53" t="s">
        <v>27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8034</v>
      </c>
      <c r="N53">
        <v>6541</v>
      </c>
      <c r="O53">
        <v>3311</v>
      </c>
      <c r="P53">
        <v>3254</v>
      </c>
      <c r="Q53">
        <v>2687</v>
      </c>
      <c r="R53">
        <f t="shared" si="0"/>
        <v>23827</v>
      </c>
      <c r="S53" s="4">
        <v>-0.23952671916055424</v>
      </c>
    </row>
    <row r="54" spans="1:19" x14ac:dyDescent="0.3">
      <c r="A54" t="s">
        <v>251</v>
      </c>
      <c r="B54" t="s">
        <v>252</v>
      </c>
      <c r="C54" t="s">
        <v>253</v>
      </c>
      <c r="D54" t="s">
        <v>254</v>
      </c>
      <c r="E54" t="s">
        <v>206</v>
      </c>
      <c r="F54" t="s">
        <v>22</v>
      </c>
      <c r="G54" t="s">
        <v>22</v>
      </c>
      <c r="H54" t="s">
        <v>22</v>
      </c>
      <c r="I54" t="s">
        <v>27</v>
      </c>
      <c r="J54" t="s">
        <v>27</v>
      </c>
      <c r="K54" t="s">
        <v>27</v>
      </c>
      <c r="L54" t="s">
        <v>27</v>
      </c>
      <c r="M54">
        <v>1263</v>
      </c>
      <c r="N54">
        <v>2517</v>
      </c>
      <c r="O54">
        <v>8042</v>
      </c>
      <c r="P54">
        <v>8222</v>
      </c>
      <c r="Q54">
        <v>9686</v>
      </c>
      <c r="R54">
        <f t="shared" si="0"/>
        <v>29730</v>
      </c>
      <c r="S54" s="4">
        <v>0.66412244620782168</v>
      </c>
    </row>
    <row r="55" spans="1:19" x14ac:dyDescent="0.3">
      <c r="A55" t="s">
        <v>255</v>
      </c>
      <c r="B55" t="s">
        <v>256</v>
      </c>
      <c r="C55" t="s">
        <v>257</v>
      </c>
      <c r="D55" t="s">
        <v>258</v>
      </c>
      <c r="E55" t="s">
        <v>206</v>
      </c>
      <c r="F55" t="s">
        <v>22</v>
      </c>
      <c r="G55" t="s">
        <v>22</v>
      </c>
      <c r="H55" t="s">
        <v>22</v>
      </c>
      <c r="I55" t="s">
        <v>27</v>
      </c>
      <c r="J55" t="s">
        <v>27</v>
      </c>
      <c r="K55" t="s">
        <v>27</v>
      </c>
      <c r="L55" t="s">
        <v>27</v>
      </c>
      <c r="M55">
        <v>1032</v>
      </c>
      <c r="N55">
        <v>3919</v>
      </c>
      <c r="O55">
        <v>4466</v>
      </c>
      <c r="P55">
        <v>5568</v>
      </c>
      <c r="Q55">
        <v>6476</v>
      </c>
      <c r="R55">
        <f t="shared" si="0"/>
        <v>21461</v>
      </c>
      <c r="S55" s="4">
        <v>0.58272982283102692</v>
      </c>
    </row>
    <row r="56" spans="1:19" x14ac:dyDescent="0.3">
      <c r="A56" t="s">
        <v>259</v>
      </c>
      <c r="B56" t="s">
        <v>260</v>
      </c>
      <c r="C56" t="s">
        <v>261</v>
      </c>
      <c r="D56" t="s">
        <v>262</v>
      </c>
      <c r="E56" t="s">
        <v>206</v>
      </c>
      <c r="F56" t="s">
        <v>22</v>
      </c>
      <c r="G56" t="s">
        <v>22</v>
      </c>
      <c r="H56" t="s">
        <v>22</v>
      </c>
      <c r="I56" t="s">
        <v>27</v>
      </c>
      <c r="J56" t="s">
        <v>27</v>
      </c>
      <c r="K56" t="s">
        <v>27</v>
      </c>
      <c r="L56" t="s">
        <v>27</v>
      </c>
      <c r="M56">
        <v>1014</v>
      </c>
      <c r="N56">
        <v>2254</v>
      </c>
      <c r="O56">
        <v>4534</v>
      </c>
      <c r="P56">
        <v>6796</v>
      </c>
      <c r="Q56">
        <v>7730</v>
      </c>
      <c r="R56">
        <f t="shared" si="0"/>
        <v>22328</v>
      </c>
      <c r="S56" s="4">
        <v>0.66163405613342663</v>
      </c>
    </row>
    <row r="57" spans="1:19" x14ac:dyDescent="0.3">
      <c r="A57" t="s">
        <v>207</v>
      </c>
      <c r="B57" t="s">
        <v>208</v>
      </c>
      <c r="C57" t="s">
        <v>209</v>
      </c>
      <c r="D57" t="s">
        <v>210</v>
      </c>
      <c r="E57" t="s">
        <v>206</v>
      </c>
      <c r="F57" t="s">
        <v>22</v>
      </c>
      <c r="G57" t="s">
        <v>22</v>
      </c>
      <c r="H57" t="s">
        <v>22</v>
      </c>
      <c r="I57" t="s">
        <v>27</v>
      </c>
      <c r="J57" t="s">
        <v>27</v>
      </c>
      <c r="K57" t="s">
        <v>22</v>
      </c>
      <c r="L57" t="s">
        <v>27</v>
      </c>
      <c r="M57">
        <v>299</v>
      </c>
      <c r="N57">
        <v>657</v>
      </c>
      <c r="O57">
        <v>6238</v>
      </c>
      <c r="P57">
        <v>8922</v>
      </c>
      <c r="Q57">
        <v>9081</v>
      </c>
      <c r="R57">
        <f t="shared" si="0"/>
        <v>25197</v>
      </c>
      <c r="S57" s="4">
        <v>1.3475541667800686</v>
      </c>
    </row>
    <row r="58" spans="1:19" x14ac:dyDescent="0.3">
      <c r="A58" t="s">
        <v>211</v>
      </c>
      <c r="B58" t="s">
        <v>212</v>
      </c>
      <c r="C58" t="s">
        <v>213</v>
      </c>
      <c r="D58" t="s">
        <v>214</v>
      </c>
      <c r="E58" t="s">
        <v>206</v>
      </c>
      <c r="F58" t="s">
        <v>22</v>
      </c>
      <c r="G58" t="s">
        <v>22</v>
      </c>
      <c r="H58" t="s">
        <v>22</v>
      </c>
      <c r="I58" t="s">
        <v>27</v>
      </c>
      <c r="J58" t="s">
        <v>27</v>
      </c>
      <c r="K58" t="s">
        <v>22</v>
      </c>
      <c r="L58" t="s">
        <v>27</v>
      </c>
      <c r="M58">
        <v>1323</v>
      </c>
      <c r="N58">
        <v>4963</v>
      </c>
      <c r="O58">
        <v>6292</v>
      </c>
      <c r="P58">
        <v>6728</v>
      </c>
      <c r="Q58">
        <v>8202</v>
      </c>
      <c r="R58">
        <f t="shared" si="0"/>
        <v>27508</v>
      </c>
      <c r="S58" s="4">
        <v>0.57793816418173161</v>
      </c>
    </row>
    <row r="59" spans="1:19" x14ac:dyDescent="0.3">
      <c r="A59" t="s">
        <v>215</v>
      </c>
      <c r="B59" t="s">
        <v>216</v>
      </c>
      <c r="C59" t="s">
        <v>217</v>
      </c>
      <c r="D59" t="s">
        <v>218</v>
      </c>
      <c r="E59" t="s">
        <v>206</v>
      </c>
      <c r="F59" t="s">
        <v>22</v>
      </c>
      <c r="G59" t="s">
        <v>27</v>
      </c>
      <c r="H59" t="s">
        <v>27</v>
      </c>
      <c r="I59" t="s">
        <v>27</v>
      </c>
      <c r="J59" t="s">
        <v>27</v>
      </c>
      <c r="K59" t="s">
        <v>22</v>
      </c>
      <c r="L59" t="s">
        <v>27</v>
      </c>
      <c r="M59">
        <v>8466</v>
      </c>
      <c r="N59">
        <v>4079</v>
      </c>
      <c r="O59">
        <v>2797</v>
      </c>
      <c r="P59">
        <v>2245</v>
      </c>
      <c r="Q59">
        <v>1696</v>
      </c>
      <c r="R59">
        <f t="shared" si="0"/>
        <v>19283</v>
      </c>
      <c r="S59" s="4">
        <v>-0.33098339677163802</v>
      </c>
    </row>
    <row r="60" spans="1:19" x14ac:dyDescent="0.3">
      <c r="A60" t="s">
        <v>219</v>
      </c>
      <c r="B60" t="s">
        <v>220</v>
      </c>
      <c r="C60" t="s">
        <v>221</v>
      </c>
      <c r="D60" t="s">
        <v>222</v>
      </c>
      <c r="E60" t="s">
        <v>206</v>
      </c>
      <c r="F60" t="s">
        <v>22</v>
      </c>
      <c r="G60" t="s">
        <v>22</v>
      </c>
      <c r="H60" t="s">
        <v>22</v>
      </c>
      <c r="I60" t="s">
        <v>27</v>
      </c>
      <c r="J60" t="s">
        <v>27</v>
      </c>
      <c r="K60" t="s">
        <v>22</v>
      </c>
      <c r="L60" t="s">
        <v>27</v>
      </c>
      <c r="M60">
        <v>870</v>
      </c>
      <c r="N60">
        <v>2428</v>
      </c>
      <c r="O60">
        <v>7386</v>
      </c>
      <c r="P60">
        <v>8835</v>
      </c>
      <c r="Q60">
        <v>9766</v>
      </c>
      <c r="R60">
        <f t="shared" si="0"/>
        <v>29285</v>
      </c>
      <c r="S60" s="4">
        <v>0.83041416010220881</v>
      </c>
    </row>
    <row r="61" spans="1:19" x14ac:dyDescent="0.3">
      <c r="A61" t="s">
        <v>223</v>
      </c>
      <c r="B61" t="s">
        <v>224</v>
      </c>
      <c r="C61" t="s">
        <v>225</v>
      </c>
      <c r="D61" t="s">
        <v>226</v>
      </c>
      <c r="E61" t="s">
        <v>206</v>
      </c>
      <c r="F61" t="s">
        <v>22</v>
      </c>
      <c r="G61" t="s">
        <v>22</v>
      </c>
      <c r="H61" t="s">
        <v>22</v>
      </c>
      <c r="I61" t="s">
        <v>27</v>
      </c>
      <c r="J61" t="s">
        <v>27</v>
      </c>
      <c r="K61" t="s">
        <v>22</v>
      </c>
      <c r="L61" t="s">
        <v>27</v>
      </c>
      <c r="M61">
        <v>1497</v>
      </c>
      <c r="N61">
        <v>1768</v>
      </c>
      <c r="O61">
        <v>2804</v>
      </c>
      <c r="P61">
        <v>5718</v>
      </c>
      <c r="Q61">
        <v>9822</v>
      </c>
      <c r="R61">
        <f t="shared" si="0"/>
        <v>21609</v>
      </c>
      <c r="S61" s="4">
        <v>0.60045892388204325</v>
      </c>
    </row>
    <row r="62" spans="1:19" x14ac:dyDescent="0.3">
      <c r="A62" t="s">
        <v>227</v>
      </c>
      <c r="B62" t="s">
        <v>228</v>
      </c>
      <c r="C62" t="s">
        <v>229</v>
      </c>
      <c r="D62" t="s">
        <v>230</v>
      </c>
      <c r="E62" t="s">
        <v>206</v>
      </c>
      <c r="F62" t="s">
        <v>22</v>
      </c>
      <c r="G62" t="s">
        <v>22</v>
      </c>
      <c r="H62" t="s">
        <v>22</v>
      </c>
      <c r="I62" t="s">
        <v>27</v>
      </c>
      <c r="J62" t="s">
        <v>27</v>
      </c>
      <c r="K62" t="s">
        <v>22</v>
      </c>
      <c r="L62" t="s">
        <v>27</v>
      </c>
      <c r="M62">
        <v>1082</v>
      </c>
      <c r="N62">
        <v>3353</v>
      </c>
      <c r="O62">
        <v>6351</v>
      </c>
      <c r="P62">
        <v>8550</v>
      </c>
      <c r="Q62">
        <v>9272</v>
      </c>
      <c r="R62">
        <f t="shared" si="0"/>
        <v>28608</v>
      </c>
      <c r="S62" s="4">
        <v>0.71094693671276654</v>
      </c>
    </row>
    <row r="63" spans="1:19" x14ac:dyDescent="0.3">
      <c r="A63" t="s">
        <v>231</v>
      </c>
      <c r="B63" t="s">
        <v>232</v>
      </c>
      <c r="C63" t="s">
        <v>233</v>
      </c>
      <c r="D63" t="s">
        <v>234</v>
      </c>
      <c r="E63" t="s">
        <v>206</v>
      </c>
      <c r="F63" t="s">
        <v>22</v>
      </c>
      <c r="G63" t="s">
        <v>22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9791</v>
      </c>
      <c r="N63">
        <v>9610</v>
      </c>
      <c r="O63">
        <v>7534</v>
      </c>
      <c r="P63">
        <v>5080</v>
      </c>
      <c r="Q63">
        <v>4936</v>
      </c>
      <c r="R63">
        <f t="shared" si="0"/>
        <v>36951</v>
      </c>
      <c r="S63" s="4">
        <v>-0.15736979056747447</v>
      </c>
    </row>
    <row r="64" spans="1:19" x14ac:dyDescent="0.3">
      <c r="A64" t="s">
        <v>235</v>
      </c>
      <c r="B64" t="s">
        <v>236</v>
      </c>
      <c r="C64" t="s">
        <v>237</v>
      </c>
      <c r="D64" t="s">
        <v>238</v>
      </c>
      <c r="E64" t="s">
        <v>206</v>
      </c>
      <c r="F64" t="s">
        <v>22</v>
      </c>
      <c r="G64" t="s">
        <v>22</v>
      </c>
      <c r="H64" t="s">
        <v>22</v>
      </c>
      <c r="I64" t="s">
        <v>27</v>
      </c>
      <c r="J64" t="s">
        <v>27</v>
      </c>
      <c r="K64" t="s">
        <v>22</v>
      </c>
      <c r="L64" t="s">
        <v>27</v>
      </c>
      <c r="M64">
        <v>1357</v>
      </c>
      <c r="N64">
        <v>4189</v>
      </c>
      <c r="O64">
        <v>5407</v>
      </c>
      <c r="P64">
        <v>6233</v>
      </c>
      <c r="Q64">
        <v>9681</v>
      </c>
      <c r="R64">
        <f t="shared" si="0"/>
        <v>26867</v>
      </c>
      <c r="S64" s="4">
        <v>0.63431246502429839</v>
      </c>
    </row>
    <row r="65" spans="5:18" x14ac:dyDescent="0.3">
      <c r="E65" s="1" t="s">
        <v>263</v>
      </c>
      <c r="F65">
        <f t="shared" ref="F65:L65" si="1">COUNTIF(F5:F64,"yes")</f>
        <v>60</v>
      </c>
      <c r="G65">
        <f t="shared" si="1"/>
        <v>46</v>
      </c>
      <c r="H65">
        <f t="shared" si="1"/>
        <v>30</v>
      </c>
      <c r="I65">
        <f t="shared" si="1"/>
        <v>24</v>
      </c>
      <c r="J65">
        <f t="shared" si="1"/>
        <v>20</v>
      </c>
      <c r="K65">
        <f t="shared" si="1"/>
        <v>43</v>
      </c>
      <c r="L65">
        <f t="shared" si="1"/>
        <v>17</v>
      </c>
      <c r="M65">
        <f>SUM(M5:M64)</f>
        <v>189976</v>
      </c>
      <c r="N65">
        <f>SUM(N5:N64)</f>
        <v>242995</v>
      </c>
      <c r="O65">
        <f>SUM(O5:O64)</f>
        <v>288449</v>
      </c>
      <c r="P65">
        <f>SUM(P5:P64)</f>
        <v>350234</v>
      </c>
      <c r="Q65">
        <f>SUM(Q5:Q64)</f>
        <v>409194</v>
      </c>
      <c r="R65" s="1">
        <f>MAX(R5:R64)</f>
        <v>39413</v>
      </c>
    </row>
    <row r="66" spans="5:18" x14ac:dyDescent="0.3">
      <c r="E66" s="1" t="s">
        <v>265</v>
      </c>
      <c r="F66">
        <v>15</v>
      </c>
      <c r="G66">
        <f>COUNTIF(G35:G49,"yes")</f>
        <v>9</v>
      </c>
      <c r="H66">
        <f>COUNTIF(H35:H49,"yes")</f>
        <v>8</v>
      </c>
      <c r="I66">
        <f t="shared" ref="I66:L66" si="2">COUNTIF(I35:I49,"yes")</f>
        <v>8</v>
      </c>
      <c r="J66">
        <f t="shared" si="2"/>
        <v>8</v>
      </c>
      <c r="K66">
        <f t="shared" si="2"/>
        <v>12</v>
      </c>
      <c r="L66">
        <f t="shared" si="2"/>
        <v>7</v>
      </c>
    </row>
    <row r="67" spans="5:18" x14ac:dyDescent="0.3">
      <c r="E67" s="1" t="s">
        <v>266</v>
      </c>
      <c r="F67">
        <v>15</v>
      </c>
      <c r="G67">
        <f>COUNTIF(G5:G19,"yes")</f>
        <v>13</v>
      </c>
      <c r="H67">
        <f t="shared" ref="H67:L67" si="3">COUNTIF(H5:H19,"yes")</f>
        <v>0</v>
      </c>
      <c r="I67">
        <f t="shared" si="3"/>
        <v>8</v>
      </c>
      <c r="J67">
        <f t="shared" si="3"/>
        <v>5</v>
      </c>
      <c r="K67">
        <f t="shared" si="3"/>
        <v>8</v>
      </c>
      <c r="L67">
        <f t="shared" si="3"/>
        <v>0</v>
      </c>
    </row>
    <row r="68" spans="5:18" x14ac:dyDescent="0.3">
      <c r="E68" s="1" t="s">
        <v>267</v>
      </c>
      <c r="F68">
        <v>15</v>
      </c>
      <c r="G68">
        <f>COUNTIF(G20:G34,"yes")</f>
        <v>13</v>
      </c>
      <c r="H68">
        <f t="shared" ref="H68:L68" si="4">COUNTIF(H20:H34,"yes")</f>
        <v>12</v>
      </c>
      <c r="I68">
        <f t="shared" si="4"/>
        <v>8</v>
      </c>
      <c r="J68">
        <f t="shared" si="4"/>
        <v>7</v>
      </c>
      <c r="K68">
        <f t="shared" si="4"/>
        <v>12</v>
      </c>
      <c r="L68">
        <f t="shared" si="4"/>
        <v>10</v>
      </c>
    </row>
    <row r="69" spans="5:18" x14ac:dyDescent="0.3">
      <c r="E69" s="1" t="s">
        <v>268</v>
      </c>
      <c r="F69">
        <v>15</v>
      </c>
      <c r="G69">
        <f>COUNTIF(G50:G64,"yes")</f>
        <v>11</v>
      </c>
      <c r="H69">
        <f t="shared" ref="H69:L69" si="5">COUNTIF(H50:H64,"yes")</f>
        <v>10</v>
      </c>
      <c r="I69">
        <f t="shared" si="5"/>
        <v>0</v>
      </c>
      <c r="J69">
        <f t="shared" si="5"/>
        <v>0</v>
      </c>
      <c r="K69">
        <f t="shared" si="5"/>
        <v>11</v>
      </c>
      <c r="L69">
        <f t="shared" si="5"/>
        <v>0</v>
      </c>
    </row>
  </sheetData>
  <autoFilter ref="A4:S64" xr:uid="{E89B086C-A415-4735-B36A-95FDECF3BB02}">
    <sortState xmlns:xlrd2="http://schemas.microsoft.com/office/spreadsheetml/2017/richdata2" ref="A5:S65">
      <sortCondition ref="A4:A64"/>
    </sortState>
  </autoFilter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DE953-4DC9-4DC8-9AE0-7377C71CFB9C}">
  <dimension ref="A1:B11"/>
  <sheetViews>
    <sheetView workbookViewId="0">
      <selection sqref="A1:B11"/>
    </sheetView>
  </sheetViews>
  <sheetFormatPr defaultRowHeight="14.4" x14ac:dyDescent="0.3"/>
  <cols>
    <col min="1" max="1" width="13.5546875" bestFit="1" customWidth="1"/>
    <col min="2" max="2" width="9.6640625" bestFit="1" customWidth="1"/>
  </cols>
  <sheetData>
    <row r="1" spans="1:2" x14ac:dyDescent="0.3">
      <c r="A1" s="1" t="s">
        <v>4</v>
      </c>
      <c r="B1" s="1" t="s">
        <v>16</v>
      </c>
    </row>
    <row r="2" spans="1:2" x14ac:dyDescent="0.3">
      <c r="A2" t="s">
        <v>68</v>
      </c>
      <c r="B2" s="4">
        <v>3.3498147004699526</v>
      </c>
    </row>
    <row r="3" spans="1:2" x14ac:dyDescent="0.3">
      <c r="A3" t="s">
        <v>97</v>
      </c>
      <c r="B3" s="4">
        <v>2.2455667067018901</v>
      </c>
    </row>
    <row r="4" spans="1:2" x14ac:dyDescent="0.3">
      <c r="A4" t="s">
        <v>146</v>
      </c>
      <c r="B4" s="4">
        <v>1.8142296888697582</v>
      </c>
    </row>
    <row r="5" spans="1:2" x14ac:dyDescent="0.3">
      <c r="A5" t="s">
        <v>243</v>
      </c>
      <c r="B5" s="4">
        <v>1.6546701130112136</v>
      </c>
    </row>
    <row r="6" spans="1:2" x14ac:dyDescent="0.3">
      <c r="A6" t="s">
        <v>125</v>
      </c>
      <c r="B6" s="4">
        <v>1.5203389637502625</v>
      </c>
    </row>
    <row r="7" spans="1:2" x14ac:dyDescent="0.3">
      <c r="A7" t="s">
        <v>101</v>
      </c>
      <c r="B7" s="4">
        <v>1.4232703532020747</v>
      </c>
    </row>
    <row r="8" spans="1:2" x14ac:dyDescent="0.3">
      <c r="A8" t="s">
        <v>207</v>
      </c>
      <c r="B8" s="4">
        <v>1.3475541667800686</v>
      </c>
    </row>
    <row r="9" spans="1:2" x14ac:dyDescent="0.3">
      <c r="A9" t="s">
        <v>178</v>
      </c>
      <c r="B9" s="4">
        <v>1.1188084145320056</v>
      </c>
    </row>
    <row r="10" spans="1:2" x14ac:dyDescent="0.3">
      <c r="A10" t="s">
        <v>198</v>
      </c>
      <c r="B10" s="4">
        <v>1.0930046233022455</v>
      </c>
    </row>
    <row r="11" spans="1:2" x14ac:dyDescent="0.3">
      <c r="A11" t="s">
        <v>174</v>
      </c>
      <c r="B11" s="4">
        <v>1.084072328017021</v>
      </c>
    </row>
  </sheetData>
  <autoFilter ref="A1:B11" xr:uid="{813DE953-4DC9-4DC8-9AE0-7377C71CFB9C}">
    <sortState xmlns:xlrd2="http://schemas.microsoft.com/office/spreadsheetml/2017/richdata2" ref="A2:B11">
      <sortCondition descending="1" ref="B1:B11"/>
    </sortState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6D16B-AB26-4546-A37E-48C3AE0062DE}">
  <sheetPr codeName="Sheet4"/>
  <dimension ref="A1:P5"/>
  <sheetViews>
    <sheetView workbookViewId="0">
      <selection activeCell="F7" sqref="F7"/>
    </sheetView>
  </sheetViews>
  <sheetFormatPr defaultRowHeight="14.4" x14ac:dyDescent="0.3"/>
  <cols>
    <col min="1" max="1" width="16" bestFit="1" customWidth="1"/>
    <col min="2" max="2" width="17" bestFit="1" customWidth="1"/>
    <col min="3" max="3" width="16.33203125" bestFit="1" customWidth="1"/>
    <col min="4" max="4" width="18.88671875" bestFit="1" customWidth="1"/>
    <col min="5" max="8" width="18.88671875" customWidth="1"/>
    <col min="9" max="9" width="13.5546875" bestFit="1" customWidth="1"/>
    <col min="13" max="13" width="13.5546875" bestFit="1" customWidth="1"/>
    <col min="14" max="14" width="14" bestFit="1" customWidth="1"/>
    <col min="15" max="15" width="13.88671875" bestFit="1" customWidth="1"/>
    <col min="16" max="16" width="15.109375" bestFit="1" customWidth="1"/>
    <col min="17" max="17" width="11.109375" bestFit="1" customWidth="1"/>
  </cols>
  <sheetData>
    <row r="1" spans="1:16" x14ac:dyDescent="0.3">
      <c r="A1" s="1" t="s">
        <v>4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264</v>
      </c>
      <c r="L1" s="1"/>
      <c r="M1" s="1"/>
      <c r="N1" s="1"/>
      <c r="O1" s="1"/>
      <c r="P1" s="1"/>
    </row>
    <row r="2" spans="1:16" x14ac:dyDescent="0.3">
      <c r="A2" t="s">
        <v>80</v>
      </c>
      <c r="B2" t="s">
        <v>82</v>
      </c>
      <c r="C2" t="s">
        <v>83</v>
      </c>
      <c r="D2" t="s">
        <v>84</v>
      </c>
      <c r="E2">
        <v>15</v>
      </c>
      <c r="F2">
        <v>9</v>
      </c>
      <c r="G2">
        <v>8</v>
      </c>
      <c r="H2">
        <v>34686</v>
      </c>
    </row>
    <row r="3" spans="1:16" x14ac:dyDescent="0.3">
      <c r="A3" t="s">
        <v>40</v>
      </c>
      <c r="B3" t="s">
        <v>42</v>
      </c>
      <c r="C3" t="s">
        <v>43</v>
      </c>
      <c r="D3" t="s">
        <v>21</v>
      </c>
      <c r="E3">
        <v>15</v>
      </c>
      <c r="F3">
        <v>13</v>
      </c>
      <c r="G3">
        <v>0</v>
      </c>
      <c r="H3">
        <v>32872</v>
      </c>
    </row>
    <row r="4" spans="1:16" x14ac:dyDescent="0.3">
      <c r="A4" t="s">
        <v>141</v>
      </c>
      <c r="B4" t="s">
        <v>143</v>
      </c>
      <c r="C4" t="s">
        <v>144</v>
      </c>
      <c r="D4" t="s">
        <v>145</v>
      </c>
      <c r="E4">
        <v>15</v>
      </c>
      <c r="F4">
        <v>13</v>
      </c>
      <c r="G4">
        <v>12</v>
      </c>
      <c r="H4">
        <v>28630</v>
      </c>
    </row>
    <row r="5" spans="1:16" x14ac:dyDescent="0.3">
      <c r="A5" t="s">
        <v>202</v>
      </c>
      <c r="B5" t="s">
        <v>204</v>
      </c>
      <c r="C5" t="s">
        <v>205</v>
      </c>
      <c r="D5" t="s">
        <v>206</v>
      </c>
      <c r="E5">
        <v>15</v>
      </c>
      <c r="F5">
        <v>11</v>
      </c>
      <c r="G5">
        <v>10</v>
      </c>
      <c r="H5">
        <v>10574</v>
      </c>
    </row>
  </sheetData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A1BB4-F499-4184-9B01-3E7ADCF9D54A}">
  <sheetPr codeName="Sheet2"/>
  <dimension ref="A1:R5"/>
  <sheetViews>
    <sheetView zoomScale="90" zoomScaleNormal="90" workbookViewId="0">
      <selection activeCell="I14" sqref="I14"/>
    </sheetView>
  </sheetViews>
  <sheetFormatPr defaultRowHeight="14.4" x14ac:dyDescent="0.3"/>
  <cols>
    <col min="1" max="1" width="13.77734375" bestFit="1" customWidth="1"/>
    <col min="2" max="2" width="18.109375" bestFit="1" customWidth="1"/>
    <col min="3" max="3" width="14.6640625" bestFit="1" customWidth="1"/>
    <col min="4" max="4" width="20.109375" bestFit="1" customWidth="1"/>
    <col min="5" max="9" width="8.21875" bestFit="1" customWidth="1"/>
    <col min="10" max="10" width="14.6640625" customWidth="1"/>
    <col min="11" max="11" width="17" bestFit="1" customWidth="1"/>
    <col min="12" max="12" width="16.33203125" bestFit="1" customWidth="1"/>
  </cols>
  <sheetData>
    <row r="1" spans="1:18" x14ac:dyDescent="0.3">
      <c r="A1" s="1" t="s">
        <v>4</v>
      </c>
      <c r="B1" s="1" t="s">
        <v>6</v>
      </c>
      <c r="C1" s="1" t="s">
        <v>7</v>
      </c>
      <c r="D1" s="1" t="s">
        <v>8</v>
      </c>
      <c r="E1" s="5">
        <v>2017</v>
      </c>
      <c r="F1" s="5">
        <v>2018</v>
      </c>
      <c r="G1" s="5">
        <v>2019</v>
      </c>
      <c r="H1" s="5">
        <v>2020</v>
      </c>
      <c r="I1" s="5">
        <v>2021</v>
      </c>
      <c r="J1" s="1" t="s">
        <v>264</v>
      </c>
      <c r="K1" s="1"/>
      <c r="L1" s="5"/>
      <c r="M1" s="5"/>
      <c r="N1" s="5"/>
      <c r="O1" s="5"/>
      <c r="P1" s="5"/>
      <c r="Q1" s="5"/>
      <c r="R1" s="5"/>
    </row>
    <row r="2" spans="1:18" x14ac:dyDescent="0.3">
      <c r="A2" t="s">
        <v>93</v>
      </c>
      <c r="B2" t="s">
        <v>95</v>
      </c>
      <c r="C2" t="s">
        <v>96</v>
      </c>
      <c r="D2" t="s">
        <v>84</v>
      </c>
      <c r="E2">
        <v>9773</v>
      </c>
      <c r="F2">
        <v>9179</v>
      </c>
      <c r="G2">
        <v>8390</v>
      </c>
      <c r="H2">
        <v>8256</v>
      </c>
      <c r="I2">
        <v>3815</v>
      </c>
      <c r="J2">
        <f>SUM(E2:I2)</f>
        <v>39413</v>
      </c>
    </row>
    <row r="3" spans="1:18" x14ac:dyDescent="0.3">
      <c r="A3" t="s">
        <v>141</v>
      </c>
      <c r="B3" t="s">
        <v>143</v>
      </c>
      <c r="C3" t="s">
        <v>144</v>
      </c>
      <c r="D3" t="s">
        <v>145</v>
      </c>
      <c r="E3">
        <v>2519</v>
      </c>
      <c r="F3">
        <v>3938</v>
      </c>
      <c r="G3">
        <v>5190</v>
      </c>
      <c r="H3">
        <v>8203</v>
      </c>
      <c r="I3">
        <v>8780</v>
      </c>
      <c r="J3">
        <f>SUM(E3:I3)</f>
        <v>28630</v>
      </c>
    </row>
    <row r="4" spans="1:18" x14ac:dyDescent="0.3">
      <c r="A4" t="s">
        <v>17</v>
      </c>
      <c r="B4" t="s">
        <v>19</v>
      </c>
      <c r="C4" t="s">
        <v>20</v>
      </c>
      <c r="D4" t="s">
        <v>21</v>
      </c>
      <c r="E4">
        <v>1982</v>
      </c>
      <c r="F4">
        <v>5388</v>
      </c>
      <c r="G4">
        <v>7063</v>
      </c>
      <c r="H4">
        <v>7208</v>
      </c>
      <c r="I4">
        <v>9093</v>
      </c>
      <c r="J4">
        <f>SUM(E4:I4)</f>
        <v>30734</v>
      </c>
    </row>
    <row r="5" spans="1:18" x14ac:dyDescent="0.3">
      <c r="A5" t="s">
        <v>202</v>
      </c>
      <c r="B5" t="s">
        <v>204</v>
      </c>
      <c r="C5" t="s">
        <v>205</v>
      </c>
      <c r="D5" t="s">
        <v>206</v>
      </c>
      <c r="E5">
        <v>8156</v>
      </c>
      <c r="F5">
        <v>1245</v>
      </c>
      <c r="G5">
        <v>791</v>
      </c>
      <c r="H5">
        <v>338</v>
      </c>
      <c r="I5">
        <v>44</v>
      </c>
      <c r="J5">
        <f>SUM(E5:I5)</f>
        <v>10574</v>
      </c>
    </row>
  </sheetData>
  <autoFilter ref="A1:J5" xr:uid="{8C6A1BB4-F499-4184-9B01-3E7ADCF9D54A}">
    <sortState xmlns:xlrd2="http://schemas.microsoft.com/office/spreadsheetml/2017/richdata2" ref="A2:J2">
      <sortCondition descending="1" ref="J1:J5"/>
    </sortState>
  </autoFilter>
  <conditionalFormatting sqref="C2">
    <cfRule type="containsText" dxfId="1" priority="5" operator="containsText" text="Yes">
      <formula>NOT(ISERROR(SEARCH("Yes",C2)))</formula>
    </cfRule>
  </conditionalFormatting>
  <conditionalFormatting sqref="D2">
    <cfRule type="containsText" dxfId="0" priority="4" operator="containsText" text="Yes">
      <formula>NOT(ISERROR(SEARCH("Yes",D2)))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0CCC1-1405-416A-BE4B-B1A8A3E62D6E}">
  <sheetPr codeName="Sheet3"/>
  <dimension ref="A1:AY2"/>
  <sheetViews>
    <sheetView zoomScale="90" zoomScaleNormal="90" workbookViewId="0">
      <selection activeCell="Z27" sqref="Z27"/>
    </sheetView>
  </sheetViews>
  <sheetFormatPr defaultRowHeight="14.4" x14ac:dyDescent="0.3"/>
  <cols>
    <col min="47" max="47" width="17.21875" bestFit="1" customWidth="1"/>
    <col min="48" max="48" width="17.77734375" bestFit="1" customWidth="1"/>
    <col min="49" max="49" width="18" bestFit="1" customWidth="1"/>
    <col min="50" max="50" width="20.88671875" bestFit="1" customWidth="1"/>
    <col min="51" max="51" width="15" bestFit="1" customWidth="1"/>
  </cols>
  <sheetData>
    <row r="1" spans="1:51" ht="16.2" customHeight="1" x14ac:dyDescent="0.5">
      <c r="A1" s="6"/>
      <c r="B1" s="7"/>
      <c r="C1" s="7"/>
      <c r="D1" s="7"/>
      <c r="E1" s="7"/>
      <c r="F1" s="7"/>
      <c r="AU1" s="1"/>
      <c r="AV1" s="1"/>
      <c r="AW1" s="1"/>
      <c r="AX1" s="1"/>
      <c r="AY1" s="1"/>
    </row>
    <row r="2" spans="1:51" ht="13.8" customHeight="1" x14ac:dyDescent="0.5">
      <c r="A2" s="6"/>
      <c r="B2" s="7"/>
      <c r="C2" s="7"/>
      <c r="D2" s="7"/>
      <c r="E2" s="7"/>
      <c r="F2" s="7"/>
      <c r="AU2" s="1"/>
      <c r="AV2" s="1"/>
      <c r="AW2" s="1"/>
      <c r="AX2" s="1"/>
      <c r="AY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NextDashboard">
                <anchor moveWithCells="1" sizeWithCells="1">
                  <from>
                    <xdr:col>23</xdr:col>
                    <xdr:colOff>15240</xdr:colOff>
                    <xdr:row>21</xdr:row>
                    <xdr:rowOff>0</xdr:rowOff>
                  </from>
                  <to>
                    <xdr:col>25</xdr:col>
                    <xdr:colOff>304800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064A3-3E58-4007-9104-3F1567F9AE74}">
  <dimension ref="A1"/>
  <sheetViews>
    <sheetView zoomScale="90" zoomScaleNormal="90" workbookViewId="0">
      <selection activeCell="Z27" sqref="Z27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acktoDASH1">
                <anchor moveWithCells="1" sizeWithCells="1">
                  <from>
                    <xdr:col>0</xdr:col>
                    <xdr:colOff>45720</xdr:colOff>
                    <xdr:row>23</xdr:row>
                    <xdr:rowOff>22860</xdr:rowOff>
                  </from>
                  <to>
                    <xdr:col>1</xdr:col>
                    <xdr:colOff>327660</xdr:colOff>
                    <xdr:row>25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Sheet4</vt:lpstr>
      <vt:lpstr>Sheet2</vt:lpstr>
      <vt:lpstr>Sheet7</vt:lpstr>
      <vt:lpstr>Dashboad1</vt:lpstr>
      <vt:lpstr>Dashboard2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Dell</cp:lastModifiedBy>
  <cp:revision/>
  <dcterms:created xsi:type="dcterms:W3CDTF">2022-01-18T02:47:06Z</dcterms:created>
  <dcterms:modified xsi:type="dcterms:W3CDTF">2023-07-15T14:13:27Z</dcterms:modified>
  <cp:category/>
  <cp:contentStatus/>
</cp:coreProperties>
</file>